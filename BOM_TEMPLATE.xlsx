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rsonalProjects\PartChecker\input\"/>
    </mc:Choice>
  </mc:AlternateContent>
  <xr:revisionPtr revIDLastSave="0" documentId="13_ncr:1_{65A81637-DE7D-495D-8E86-5EF9EBA0A32B}" xr6:coauthVersionLast="47" xr6:coauthVersionMax="47" xr10:uidLastSave="{00000000-0000-0000-0000-000000000000}"/>
  <bookViews>
    <workbookView xWindow="57480" yWindow="-120" windowWidth="29040" windowHeight="15720" xr2:uid="{71C7144D-BE64-428A-86F8-12B48ADAF629}"/>
  </bookViews>
  <sheets>
    <sheet name="8620071X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" i="1" l="1"/>
  <c r="J33" i="1"/>
  <c r="J32" i="1"/>
  <c r="J31" i="1"/>
  <c r="J30" i="1"/>
  <c r="J25" i="1"/>
  <c r="J17" i="1"/>
</calcChain>
</file>

<file path=xl/sharedStrings.xml><?xml version="1.0" encoding="utf-8"?>
<sst xmlns="http://schemas.openxmlformats.org/spreadsheetml/2006/main" count="71" uniqueCount="40">
  <si>
    <t>Elan Industries, Inc</t>
  </si>
  <si>
    <t>Model Drawing #:</t>
  </si>
  <si>
    <t>Description:</t>
  </si>
  <si>
    <t>BOM P/N:</t>
  </si>
  <si>
    <t>Date of last Revision:</t>
  </si>
  <si>
    <t>Schematic:</t>
  </si>
  <si>
    <t>Microcontroller Software:</t>
  </si>
  <si>
    <t>TBD</t>
  </si>
  <si>
    <t>Product Specification:</t>
  </si>
  <si>
    <t>Mfg and Test Specification:</t>
  </si>
  <si>
    <t>N/A</t>
  </si>
  <si>
    <t>Wiring Diagram:</t>
  </si>
  <si>
    <t>Elan Engineering Level:</t>
  </si>
  <si>
    <t>SURFACE MOUNT</t>
  </si>
  <si>
    <t>Item</t>
  </si>
  <si>
    <t>ELAN Part Number</t>
  </si>
  <si>
    <t>Description</t>
  </si>
  <si>
    <t>QTY.</t>
  </si>
  <si>
    <t>REFDES</t>
  </si>
  <si>
    <t>TYPE</t>
  </si>
  <si>
    <t>Manufacturer</t>
  </si>
  <si>
    <t>Manufacturere PN</t>
  </si>
  <si>
    <t>Price</t>
  </si>
  <si>
    <t>EXT Price</t>
  </si>
  <si>
    <t>C1, C3, C5, C6, C8, C11, C13, C14, C15, C18, C23, C25, C27, C28, C29, C30, C31, C32, C33, C34, C35, C36, C37, C38, C39, C40, C41</t>
  </si>
  <si>
    <t>SMT</t>
  </si>
  <si>
    <t>THROUGH-HOLE</t>
  </si>
  <si>
    <t>AUXILLARY</t>
  </si>
  <si>
    <t>XXXXXXXXXXXXXXX</t>
  </si>
  <si>
    <t>XXXXXXXXXXXX</t>
  </si>
  <si>
    <t>CAP CER XXXXXXXXXXXXXXXXXX</t>
  </si>
  <si>
    <t>XXXXXXXXXXXXXXXXX</t>
  </si>
  <si>
    <t>c2,c4</t>
  </si>
  <si>
    <t>TH</t>
  </si>
  <si>
    <t>assembly</t>
  </si>
  <si>
    <t>mech</t>
  </si>
  <si>
    <t>production</t>
  </si>
  <si>
    <t>xxxxxxxxxxxxxxxxxxxxxxxx</t>
  </si>
  <si>
    <t>xxxxxxxxxxxxxxxxxxxx</t>
  </si>
  <si>
    <t>xxxxxxxxxxxxxxxxxxxxxxxxxxxxxxxx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</si>
</sst>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_);[Red]\(0.0000\)"/>
  </numFmts>
  <fonts count="4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1" fillId="0" borderId="3" xfId="0" applyFont="1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vertical="center"/>
    </xf>
    <xf numFmtId="164" fontId="1" fillId="0" borderId="4" xfId="0" applyNumberFormat="1" applyFont="1" applyBorder="1" applyAlignment="1">
      <alignment vertical="center"/>
    </xf>
    <xf numFmtId="164" fontId="1" fillId="0" borderId="4" xfId="0" applyNumberFormat="1" applyFont="1" applyBorder="1" applyAlignment="1">
      <alignment vertical="center" wrapText="1"/>
    </xf>
    <xf numFmtId="0" fontId="2" fillId="0" borderId="0" xfId="0" applyFont="1" applyAlignment="1">
      <alignment vertical="center"/>
    </xf>
    <xf numFmtId="49" fontId="0" fillId="0" borderId="0" xfId="0" applyNumberFormat="1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 wrapText="1"/>
    </xf>
    <xf numFmtId="49" fontId="3" fillId="0" borderId="0" xfId="0" applyNumberFormat="1" applyFont="1"/>
  </cellXfs>
  <cellStyles count="1">
    <cellStyle name="Normal" xfId="0" builtinId="0"/>
  </cellStyles>
  <dxfs count="21">
    <dxf>
      <numFmt numFmtId="30" formatCode="@"/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alignment textRotation="0" wrapText="1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numFmt numFmtId="30" formatCode="@"/>
    </dxf>
    <dxf>
      <numFmt numFmtId="30" formatCode="@"/>
      <alignment textRotation="0" wrapText="1" indent="0" justifyLastLine="0" shrinkToFit="0" readingOrder="0"/>
    </dxf>
    <dxf>
      <numFmt numFmtId="30" formatCode="@"/>
    </dxf>
    <dxf>
      <numFmt numFmtId="30" formatCode="@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FD7388-169B-4B3E-8946-1FFF60CD4147}" name="_8620071X1_SMT" displayName="_8620071X1_SMT" ref="A16:J22" totalsRowShown="0">
  <autoFilter ref="A16:J22" xr:uid="{00000000-0009-0000-0100-000003000000}"/>
  <tableColumns count="10">
    <tableColumn id="1" xr3:uid="{B66ECD5C-2FB9-4F51-AE3F-7C30FA633D52}" name="Item" dataDxfId="20"/>
    <tableColumn id="2" xr3:uid="{5BE96C49-DBE1-4590-B6D0-83E011866C02}" name="ELAN Part Number" dataDxfId="3"/>
    <tableColumn id="3" xr3:uid="{44EB7992-CF1C-48A8-BCCB-036C8E29DD85}" name="Description" dataDxfId="2"/>
    <tableColumn id="4" xr3:uid="{1E3DF4B4-9857-421A-9840-857FBD263FC4}" name="QTY." dataDxfId="19"/>
    <tableColumn id="5" xr3:uid="{8001D809-E58E-4C0E-AA07-D14301E3C264}" name="REFDES" dataDxfId="1"/>
    <tableColumn id="6" xr3:uid="{D1CC57D1-AFD5-4AB3-A46E-0A059B71B96A}" name="TYPE" dataDxfId="0"/>
    <tableColumn id="7" xr3:uid="{E393498B-3570-43D3-A247-804CDFF9D886}" name="Manufacturer" dataDxfId="18"/>
    <tableColumn id="8" xr3:uid="{54C78BFD-802C-4533-8EC2-51D46164C31C}" name="Manufacturere PN" dataDxfId="17"/>
    <tableColumn id="9" xr3:uid="{16EC07F7-CA95-4411-80CD-402257D037C4}" name="Price" dataDxfId="16"/>
    <tableColumn id="10" xr3:uid="{CCC35A5C-2B08-4A83-9F53-F729C41D8E9F}" name="EXT Price" dataDxfId="15">
      <calculatedColumnFormula>_8620071X1_SMT[[#This Row],[Price]]*_8620071X1_SMT[[#This Row],[QTY.]]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E74348-E158-4A40-B556-5C5BB773AAC8}" name="_8620071X1_TH" displayName="_8620071X1_TH" ref="A24:J26" totalsRowShown="0">
  <autoFilter ref="A24:J26" xr:uid="{00000000-0009-0000-0100-000005000000}"/>
  <tableColumns count="10">
    <tableColumn id="1" xr3:uid="{180BF2F1-5960-4FCB-8538-BBAA1BA4869A}" name="Item"/>
    <tableColumn id="2" xr3:uid="{667ED942-2F5B-43F2-A760-712C18F2321C}" name="ELAN Part Number" dataDxfId="14"/>
    <tableColumn id="3" xr3:uid="{88D18036-B7B5-40AA-AC58-D38B8D49CBF1}" name="Description" dataDxfId="13"/>
    <tableColumn id="4" xr3:uid="{F9659128-E8AC-4CBC-A62D-DC4ED388E025}" name="QTY."/>
    <tableColumn id="5" xr3:uid="{5BE1B818-813C-402E-8ABB-F415550808FB}" name="REFDES" dataDxfId="12"/>
    <tableColumn id="6" xr3:uid="{4F88DC37-885E-467F-B1DE-B0A74C059832}" name="TYPE" dataDxfId="11"/>
    <tableColumn id="7" xr3:uid="{C01207C9-EADE-4BF0-B44A-337CB7E96995}" name="Manufacturer" dataDxfId="10"/>
    <tableColumn id="8" xr3:uid="{18529D64-2BEB-473B-8F89-05BD284049DD}" name="Manufacturere PN" dataDxfId="9"/>
    <tableColumn id="9" xr3:uid="{2F233917-BD2F-4F0F-BF3B-F39A7BF0675A}" name="Price" dataDxfId="8"/>
    <tableColumn id="10" xr3:uid="{FE2A0B45-1EEC-480E-AEAE-EE6B81D53CF1}" name="EXT Price" dataDxfId="7">
      <calculatedColumnFormula>_8620071X1_TH[[#This Row],[Price]]*_8620071X1_TH[[#This Row],[QTY.]]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74DBDF-5C40-4AD1-AE35-BDF8917CD8B2}" name="_8620071X1_AUX" displayName="_8620071X1_AUX" ref="A29:J33" totalsRowShown="0">
  <autoFilter ref="A29:J33" xr:uid="{00000000-0009-0000-0100-000007000000}"/>
  <tableColumns count="10">
    <tableColumn id="1" xr3:uid="{D07CC8E0-410F-477D-A92F-684933490605}" name="Item"/>
    <tableColumn id="2" xr3:uid="{07D9E693-E676-4B69-8877-48506D461D62}" name="ELAN Part Number"/>
    <tableColumn id="3" xr3:uid="{70E04C11-C13F-4213-80A5-30D1710AEBF9}" name="Description"/>
    <tableColumn id="4" xr3:uid="{EBB2C746-8322-4D73-A702-CE69F6C5A729}" name="QTY."/>
    <tableColumn id="5" xr3:uid="{BC48B656-7AA8-4220-825B-6F328B66AD95}" name="REFDES" dataDxfId="6"/>
    <tableColumn id="6" xr3:uid="{366C4CB1-C5A1-4C82-B8DF-98BFB80BB852}" name="TYPE"/>
    <tableColumn id="7" xr3:uid="{2204D75C-E683-4B32-A216-4AE8D14D255B}" name="Manufacturer"/>
    <tableColumn id="8" xr3:uid="{1BC517EC-1C50-47BD-AB4D-14DCE922CB9C}" name="Manufacturere PN"/>
    <tableColumn id="9" xr3:uid="{53B8A2CE-316B-427B-AEF6-AD88B50FA794}" name="Price" dataDxfId="5"/>
    <tableColumn id="10" xr3:uid="{C14E516E-21FF-4F84-BC58-6AB74B706983}" name="EXT Price" dataDxfId="4">
      <calculatedColumnFormula>_8620071X1_AUX[[#This Row],[Price]]*_8620071X1_AUX[[#This Row],[QTY.]]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664DC-3C3F-4AA6-89EB-0095432BDA17}">
  <dimension ref="A1:J46"/>
  <sheetViews>
    <sheetView tabSelected="1" topLeftCell="A4" zoomScale="85" zoomScaleNormal="85" workbookViewId="0">
      <selection activeCell="N16" sqref="N16"/>
    </sheetView>
  </sheetViews>
  <sheetFormatPr defaultRowHeight="15" x14ac:dyDescent="0.25"/>
  <cols>
    <col min="1" max="1" width="6.85546875" bestFit="1" customWidth="1"/>
    <col min="2" max="2" width="24.140625" bestFit="1" customWidth="1"/>
    <col min="3" max="3" width="58.42578125" customWidth="1"/>
    <col min="4" max="4" width="13.140625" bestFit="1" customWidth="1"/>
    <col min="5" max="5" width="26.28515625" style="9" customWidth="1"/>
    <col min="6" max="6" width="13.5703125" customWidth="1"/>
    <col min="7" max="7" width="23.140625" customWidth="1"/>
    <col min="8" max="8" width="19.85546875" bestFit="1" customWidth="1"/>
    <col min="10" max="10" width="11.28515625" bestFit="1" customWidth="1"/>
  </cols>
  <sheetData>
    <row r="1" spans="1:10" x14ac:dyDescent="0.25">
      <c r="B1" s="1" t="s">
        <v>0</v>
      </c>
      <c r="C1" s="2"/>
      <c r="D1" s="3"/>
      <c r="E1" s="4"/>
    </row>
    <row r="2" spans="1:10" x14ac:dyDescent="0.25">
      <c r="A2" s="5"/>
      <c r="B2" s="6" t="s">
        <v>1</v>
      </c>
      <c r="C2" s="7"/>
      <c r="D2" s="8"/>
    </row>
    <row r="3" spans="1:10" x14ac:dyDescent="0.25">
      <c r="A3" s="5"/>
      <c r="B3" s="6" t="s">
        <v>2</v>
      </c>
      <c r="C3" s="7"/>
      <c r="D3" s="8"/>
    </row>
    <row r="4" spans="1:10" x14ac:dyDescent="0.25">
      <c r="A4" s="10"/>
      <c r="B4" s="6" t="s">
        <v>3</v>
      </c>
      <c r="C4" s="7"/>
      <c r="D4" s="8"/>
    </row>
    <row r="5" spans="1:10" x14ac:dyDescent="0.25">
      <c r="A5" s="10"/>
      <c r="B5" s="6" t="s">
        <v>4</v>
      </c>
      <c r="C5" s="11"/>
      <c r="D5" s="12"/>
    </row>
    <row r="6" spans="1:10" x14ac:dyDescent="0.25">
      <c r="A6" s="10"/>
      <c r="B6" s="6" t="s">
        <v>5</v>
      </c>
      <c r="C6" s="7"/>
      <c r="D6" s="8"/>
    </row>
    <row r="7" spans="1:10" x14ac:dyDescent="0.25">
      <c r="A7" s="10"/>
      <c r="B7" t="s">
        <v>6</v>
      </c>
      <c r="C7" s="13" t="s">
        <v>7</v>
      </c>
      <c r="D7" s="8"/>
    </row>
    <row r="8" spans="1:10" x14ac:dyDescent="0.25">
      <c r="A8" s="10"/>
      <c r="B8" s="6" t="s">
        <v>8</v>
      </c>
      <c r="C8" s="7" t="s">
        <v>7</v>
      </c>
      <c r="D8" s="8"/>
    </row>
    <row r="9" spans="1:10" x14ac:dyDescent="0.25">
      <c r="A9" s="10"/>
      <c r="B9" s="6" t="s">
        <v>9</v>
      </c>
      <c r="C9" s="7" t="s">
        <v>10</v>
      </c>
      <c r="D9" s="8"/>
    </row>
    <row r="10" spans="1:10" x14ac:dyDescent="0.25">
      <c r="A10" s="10"/>
      <c r="B10" s="6" t="s">
        <v>11</v>
      </c>
      <c r="C10" s="7" t="s">
        <v>10</v>
      </c>
      <c r="D10" s="8"/>
    </row>
    <row r="11" spans="1:10" x14ac:dyDescent="0.25">
      <c r="A11" s="10"/>
      <c r="B11" s="6" t="s">
        <v>12</v>
      </c>
      <c r="C11" s="7"/>
      <c r="D11" s="8"/>
    </row>
    <row r="12" spans="1:10" x14ac:dyDescent="0.25">
      <c r="A12" s="10"/>
      <c r="B12" s="6"/>
      <c r="C12" s="8"/>
      <c r="D12" s="8"/>
    </row>
    <row r="13" spans="1:10" x14ac:dyDescent="0.25">
      <c r="A13" s="10"/>
      <c r="B13" s="6"/>
      <c r="C13" s="8"/>
      <c r="D13" s="8"/>
    </row>
    <row r="14" spans="1:10" x14ac:dyDescent="0.25">
      <c r="A14" s="10"/>
      <c r="B14" s="6"/>
      <c r="C14" s="8"/>
      <c r="D14" s="8"/>
    </row>
    <row r="15" spans="1:10" x14ac:dyDescent="0.25">
      <c r="A15" s="10"/>
      <c r="B15" s="14" t="s">
        <v>13</v>
      </c>
      <c r="C15" s="7"/>
      <c r="D15" s="8"/>
      <c r="E15" s="15"/>
    </row>
    <row r="16" spans="1:10" x14ac:dyDescent="0.25">
      <c r="A16" s="16" t="s">
        <v>14</v>
      </c>
      <c r="B16" s="16" t="s">
        <v>15</v>
      </c>
      <c r="C16" s="16" t="s">
        <v>16</v>
      </c>
      <c r="D16" s="17" t="s">
        <v>17</v>
      </c>
      <c r="E16" s="18" t="s">
        <v>18</v>
      </c>
      <c r="F16" s="16" t="s">
        <v>19</v>
      </c>
      <c r="G16" s="19" t="s">
        <v>20</v>
      </c>
      <c r="H16" s="19" t="s">
        <v>21</v>
      </c>
      <c r="I16" s="19" t="s">
        <v>22</v>
      </c>
      <c r="J16" s="19" t="s">
        <v>23</v>
      </c>
    </row>
    <row r="17" spans="1:10" x14ac:dyDescent="0.25">
      <c r="A17">
        <v>1</v>
      </c>
      <c r="B17" s="20" t="s">
        <v>31</v>
      </c>
      <c r="C17" s="20" t="s">
        <v>30</v>
      </c>
      <c r="D17">
        <v>27</v>
      </c>
      <c r="E17" s="20" t="s">
        <v>24</v>
      </c>
      <c r="F17" s="20" t="s">
        <v>25</v>
      </c>
      <c r="G17" t="s">
        <v>29</v>
      </c>
      <c r="H17" t="s">
        <v>28</v>
      </c>
      <c r="J17">
        <f>_8620071X1_SMT[[#This Row],[Price]]*_8620071X1_SMT[[#This Row],[QTY.]]</f>
        <v>0</v>
      </c>
    </row>
    <row r="18" spans="1:10" x14ac:dyDescent="0.25">
      <c r="A18">
        <v>2</v>
      </c>
      <c r="B18" s="20"/>
      <c r="C18" s="20"/>
      <c r="E18" s="20"/>
      <c r="F18" s="20"/>
    </row>
    <row r="19" spans="1:10" x14ac:dyDescent="0.25">
      <c r="A19">
        <v>3</v>
      </c>
      <c r="B19" s="20"/>
      <c r="C19" s="20"/>
      <c r="E19" s="20"/>
      <c r="F19" s="20"/>
    </row>
    <row r="20" spans="1:10" x14ac:dyDescent="0.25">
      <c r="A20">
        <v>4</v>
      </c>
      <c r="B20" s="20"/>
      <c r="C20" s="20"/>
      <c r="E20" s="20"/>
      <c r="F20" s="20"/>
    </row>
    <row r="21" spans="1:10" x14ac:dyDescent="0.25">
      <c r="A21">
        <v>5</v>
      </c>
      <c r="B21" s="20"/>
      <c r="C21" s="20"/>
      <c r="E21" s="20"/>
      <c r="F21" s="20"/>
    </row>
    <row r="22" spans="1:10" x14ac:dyDescent="0.25">
      <c r="B22" s="20"/>
      <c r="C22" s="20"/>
      <c r="E22" s="20"/>
      <c r="F22" s="20"/>
    </row>
    <row r="23" spans="1:10" x14ac:dyDescent="0.25">
      <c r="A23" s="10"/>
      <c r="B23" s="14" t="s">
        <v>26</v>
      </c>
      <c r="C23" s="7"/>
      <c r="D23" s="8"/>
      <c r="E23" s="15"/>
    </row>
    <row r="24" spans="1:10" x14ac:dyDescent="0.25">
      <c r="A24" s="16" t="s">
        <v>14</v>
      </c>
      <c r="B24" s="16" t="s">
        <v>15</v>
      </c>
      <c r="C24" s="16" t="s">
        <v>16</v>
      </c>
      <c r="D24" s="17" t="s">
        <v>17</v>
      </c>
      <c r="E24" s="18" t="s">
        <v>18</v>
      </c>
      <c r="F24" s="19" t="s">
        <v>19</v>
      </c>
      <c r="G24" s="19" t="s">
        <v>20</v>
      </c>
      <c r="H24" s="19" t="s">
        <v>21</v>
      </c>
      <c r="I24" s="19" t="s">
        <v>22</v>
      </c>
      <c r="J24" s="19" t="s">
        <v>23</v>
      </c>
    </row>
    <row r="25" spans="1:10" x14ac:dyDescent="0.25">
      <c r="A25">
        <v>1</v>
      </c>
      <c r="B25" s="20" t="s">
        <v>31</v>
      </c>
      <c r="C25" s="20" t="s">
        <v>30</v>
      </c>
      <c r="D25">
        <v>27</v>
      </c>
      <c r="E25" s="20" t="s">
        <v>32</v>
      </c>
      <c r="F25" s="20" t="s">
        <v>33</v>
      </c>
      <c r="G25" t="s">
        <v>29</v>
      </c>
      <c r="H25" t="s">
        <v>28</v>
      </c>
      <c r="J25">
        <f>_8620071X1_TH[[#This Row],[Price]]*_8620071X1_TH[[#This Row],[QTY.]]</f>
        <v>0</v>
      </c>
    </row>
    <row r="26" spans="1:10" x14ac:dyDescent="0.25">
      <c r="B26" s="20"/>
      <c r="C26" s="20"/>
      <c r="E26" s="20"/>
      <c r="F26" s="20"/>
      <c r="J26">
        <f>_8620071X1_TH[[#This Row],[Price]]*_8620071X1_TH[[#This Row],[QTY.]]</f>
        <v>0</v>
      </c>
    </row>
    <row r="28" spans="1:10" x14ac:dyDescent="0.25">
      <c r="A28" s="10"/>
      <c r="B28" s="14" t="s">
        <v>27</v>
      </c>
      <c r="C28" s="7"/>
      <c r="D28" s="8"/>
      <c r="E28" s="15"/>
    </row>
    <row r="29" spans="1:10" x14ac:dyDescent="0.25">
      <c r="A29" s="16" t="s">
        <v>14</v>
      </c>
      <c r="B29" s="16" t="s">
        <v>15</v>
      </c>
      <c r="C29" s="16" t="s">
        <v>16</v>
      </c>
      <c r="D29" s="17" t="s">
        <v>17</v>
      </c>
      <c r="E29" s="18" t="s">
        <v>18</v>
      </c>
      <c r="F29" s="19" t="s">
        <v>19</v>
      </c>
      <c r="G29" s="19" t="s">
        <v>20</v>
      </c>
      <c r="H29" s="19" t="s">
        <v>21</v>
      </c>
      <c r="I29" s="19" t="s">
        <v>22</v>
      </c>
      <c r="J29" s="19" t="s">
        <v>23</v>
      </c>
    </row>
    <row r="30" spans="1:10" x14ac:dyDescent="0.25">
      <c r="A30">
        <v>1</v>
      </c>
      <c r="B30" s="20" t="s">
        <v>31</v>
      </c>
      <c r="C30" s="20" t="s">
        <v>37</v>
      </c>
      <c r="D30">
        <v>27</v>
      </c>
      <c r="E30" s="20"/>
      <c r="F30" s="24" t="s">
        <v>34</v>
      </c>
      <c r="G30" t="s">
        <v>29</v>
      </c>
      <c r="H30" t="s">
        <v>28</v>
      </c>
      <c r="I30" s="19"/>
      <c r="J30" s="19">
        <f>_8620071X1_AUX[[#This Row],[Price]]*_8620071X1_AUX[[#This Row],[QTY.]]</f>
        <v>0</v>
      </c>
    </row>
    <row r="31" spans="1:10" x14ac:dyDescent="0.25">
      <c r="A31" s="21">
        <v>2</v>
      </c>
      <c r="B31" s="21" t="s">
        <v>31</v>
      </c>
      <c r="C31" s="21" t="s">
        <v>37</v>
      </c>
      <c r="D31" s="22"/>
      <c r="E31" s="23"/>
      <c r="F31" s="20" t="s">
        <v>35</v>
      </c>
      <c r="G31" s="19"/>
      <c r="H31" s="19"/>
      <c r="I31" s="19"/>
      <c r="J31" s="19">
        <f>_8620071X1_AUX[[#This Row],[Price]]*_8620071X1_AUX[[#This Row],[QTY.]]</f>
        <v>0</v>
      </c>
    </row>
    <row r="32" spans="1:10" x14ac:dyDescent="0.25">
      <c r="A32" s="21">
        <v>3</v>
      </c>
      <c r="B32" s="21" t="s">
        <v>38</v>
      </c>
      <c r="C32" s="21" t="s">
        <v>39</v>
      </c>
      <c r="D32" s="22"/>
      <c r="E32" s="23"/>
      <c r="F32" s="20" t="s">
        <v>36</v>
      </c>
      <c r="G32" s="19"/>
      <c r="H32" s="19"/>
      <c r="I32" s="19"/>
      <c r="J32" s="19">
        <f>_8620071X1_AUX[[#This Row],[Price]]*_8620071X1_AUX[[#This Row],[QTY.]]</f>
        <v>0</v>
      </c>
    </row>
    <row r="33" spans="1:10" x14ac:dyDescent="0.25">
      <c r="A33" s="21"/>
      <c r="B33" s="21"/>
      <c r="C33" s="21"/>
      <c r="D33" s="22"/>
      <c r="E33" s="23"/>
      <c r="F33" s="20"/>
      <c r="G33" s="19"/>
      <c r="H33" s="19"/>
      <c r="I33" s="19"/>
      <c r="J33" s="19">
        <f>_8620071X1_AUX[[#This Row],[Price]]*_8620071X1_AUX[[#This Row],[QTY.]]</f>
        <v>0</v>
      </c>
    </row>
    <row r="39" spans="1:10" x14ac:dyDescent="0.25">
      <c r="A39" s="8"/>
      <c r="B39" s="8"/>
      <c r="C39" s="7"/>
      <c r="D39" s="8"/>
      <c r="E39" s="15"/>
    </row>
    <row r="40" spans="1:10" x14ac:dyDescent="0.25">
      <c r="A40" s="21"/>
      <c r="B40" s="21"/>
      <c r="C40" s="21"/>
      <c r="D40" s="22"/>
      <c r="E40" s="23"/>
    </row>
    <row r="46" spans="1:10" x14ac:dyDescent="0.25">
      <c r="A46" s="10"/>
      <c r="B46" s="8"/>
      <c r="C46" s="6"/>
      <c r="D46" s="8"/>
      <c r="E46" s="15"/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8620071X1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Ortiz</dc:creator>
  <cp:lastModifiedBy>Eric Ortiz</cp:lastModifiedBy>
  <dcterms:created xsi:type="dcterms:W3CDTF">2025-12-11T17:11:05Z</dcterms:created>
  <dcterms:modified xsi:type="dcterms:W3CDTF">2026-02-24T15:56:02Z</dcterms:modified>
</cp:coreProperties>
</file>