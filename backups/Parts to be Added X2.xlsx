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anindustriesinc-my.sharepoint.com/personal/eortiz_elanindustries_com/Documents/LocalCopySaves/CopiesOfBOMinfo/SF-TechCopies/12-02-2025/"/>
    </mc:Choice>
  </mc:AlternateContent>
  <xr:revisionPtr revIDLastSave="9" documentId="13_ncr:1_{5CA5A00A-F804-420E-A2E3-2C8ACAA9D103}" xr6:coauthVersionLast="47" xr6:coauthVersionMax="47" xr10:uidLastSave="{BFF36B8F-C8A5-4672-A322-78584D953589}"/>
  <bookViews>
    <workbookView minimized="1" xWindow="58035" yWindow="2175" windowWidth="2985" windowHeight="705" xr2:uid="{1371CD01-2EF8-4AD3-B0AC-203351C00B7B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Sheet1!$A$1:$S$198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9" i="1" l="1"/>
  <c r="N134" i="1"/>
  <c r="N140" i="1"/>
  <c r="N143" i="1"/>
  <c r="N157" i="1"/>
  <c r="N161" i="1"/>
  <c r="N175" i="1"/>
  <c r="N2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tc={09AB2F9B-DE26-4499-874C-02FD74E8AC62}</author>
    <author>tc={000C8371-E77D-4774-9C42-C4E2DE84E53E}</author>
    <author>tc={CEC978DB-2D81-49EE-A19C-834DCFBE01C5}</author>
    <author>tc={F434EBE6-6D99-48DB-8C15-6522A6E85352}</author>
    <author>tc={BBE5CEF1-A1CF-4B6C-A2B7-C6C9F81D71BC}</author>
    <author>tc={CAC3742E-4D8A-4345-9C0B-40A550CE73FB}</author>
  </authors>
  <commentList>
    <comment ref="H23" authorId="0" shapeId="0" xr:uid="{09AB2F9B-DE26-4499-874C-02FD74E8AC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Replaced GRM2165C2A221JA01D</t>
      </text>
    </comment>
    <comment ref="H75" authorId="1" shapeId="0" xr:uid="{000C8371-E77D-4774-9C42-C4E2DE84E53E}">
      <text>
        <t>[Threaded comment]
Your version of Excel allows you to read this threaded comment; however, any edits to it will get removed if the file is opened in a newer version of Excel. Learn more: https://go.microsoft.com/fwlink/?linkid=870924
Comment:
    Obsolete
Reply:
    Need to order from Arrow</t>
      </text>
    </comment>
    <comment ref="N118" authorId="2" shapeId="0" xr:uid="{CEC978DB-2D81-49EE-A19C-834DCFBE01C5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for duplicate</t>
      </text>
    </comment>
    <comment ref="H119" authorId="3" shapeId="0" xr:uid="{F434EBE6-6D99-48DB-8C15-6522A6E85352}">
      <text>
        <t>[Threaded comment]
Your version of Excel allows you to read this threaded comment; however, any edits to it will get removed if the file is opened in a newer version of Excel. Learn more: https://go.microsoft.com/fwlink/?linkid=870924
Comment:
    Where to buy?</t>
      </text>
    </comment>
    <comment ref="H127" authorId="4" shapeId="0" xr:uid="{BBE5CEF1-A1CF-4B6C-A2B7-C6C9F81D71BC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to see if it can under 31-</t>
      </text>
    </comment>
    <comment ref="H148" authorId="5" shapeId="0" xr:uid="{CAC3742E-4D8A-4345-9C0B-40A550CE73FB}">
      <text>
        <t>[Threaded comment]
Your version of Excel allows you to read this threaded comment; however, any edits to it will get removed if the file is opened in a newer version of Excel. Learn more: https://go.microsoft.com/fwlink/?linkid=870924
Comment:
    Obsolete</t>
      </text>
    </comment>
  </commentList>
</comments>
</file>

<file path=xl/sharedStrings.xml><?xml version="1.0" encoding="utf-8"?>
<sst xmlns="http://schemas.openxmlformats.org/spreadsheetml/2006/main" count="1156" uniqueCount="784">
  <si>
    <t>Elan P/N</t>
  </si>
  <si>
    <t>#</t>
  </si>
  <si>
    <t>P/N</t>
  </si>
  <si>
    <t>Stock</t>
  </si>
  <si>
    <t>OnOrd</t>
  </si>
  <si>
    <t>Type</t>
  </si>
  <si>
    <t>Pkg</t>
  </si>
  <si>
    <t>Title</t>
  </si>
  <si>
    <t>MfrP/N</t>
  </si>
  <si>
    <t>Shipped Previously</t>
  </si>
  <si>
    <t>Amended This Shipment</t>
  </si>
  <si>
    <t>Total Required</t>
  </si>
  <si>
    <t>Total Shipped</t>
  </si>
  <si>
    <t>Need to Buy</t>
  </si>
  <si>
    <t>Received @ Elan</t>
  </si>
  <si>
    <t>Dif vs ST Tech</t>
  </si>
  <si>
    <t>Julian Needs to Buy</t>
  </si>
  <si>
    <t>Box #</t>
  </si>
  <si>
    <t>Pallet #</t>
  </si>
  <si>
    <t>HY-850-005-005</t>
  </si>
  <si>
    <t>PS</t>
  </si>
  <si>
    <t>smt</t>
  </si>
  <si>
    <t>ERJ-2GEJ224X</t>
  </si>
  <si>
    <t>HY-850-001-109</t>
  </si>
  <si>
    <t>SMT</t>
  </si>
  <si>
    <t>ERJ-3GEYJ511V</t>
  </si>
  <si>
    <t>95, 94</t>
  </si>
  <si>
    <t>HY-200-004-002</t>
  </si>
  <si>
    <t>CC0402ZRY5V7BB104</t>
  </si>
  <si>
    <t>HY-200-003-055</t>
  </si>
  <si>
    <t>SMT-TR-4000</t>
  </si>
  <si>
    <t>06035C471KAT2A</t>
  </si>
  <si>
    <t>RC33.2R110</t>
  </si>
  <si>
    <t>RES 33.2K 1% 1/10W 0603</t>
  </si>
  <si>
    <t>MCR03EZPFX3322</t>
  </si>
  <si>
    <t>HY-850-001-117</t>
  </si>
  <si>
    <t>SMT-TR-5000</t>
  </si>
  <si>
    <t>RES 10R 5% 1/10W 0603</t>
  </si>
  <si>
    <t>ERJ-3GEYJ100V</t>
  </si>
  <si>
    <t>FC-1200</t>
  </si>
  <si>
    <t>CAP CER 4700PF 50V 10% X7R 0805</t>
  </si>
  <si>
    <t>GRM216R71H472KA01D</t>
  </si>
  <si>
    <t>IT-347</t>
  </si>
  <si>
    <t>CRCW08051K30FKEA</t>
  </si>
  <si>
    <t>HY-850-001-110</t>
  </si>
  <si>
    <t>ERJ-3GEYJ332V</t>
  </si>
  <si>
    <t>HY-750-001-061</t>
  </si>
  <si>
    <t xml:space="preserve">SMT </t>
  </si>
  <si>
    <t xml:space="preserve">NCS2202SN1T1G </t>
  </si>
  <si>
    <t>FC-1215</t>
  </si>
  <si>
    <t>RC0805JR-075K6L</t>
  </si>
  <si>
    <t>GY-02-0002-56-6</t>
  </si>
  <si>
    <t>ERJ-6ENF3921V</t>
  </si>
  <si>
    <t>HY-750-001-126</t>
  </si>
  <si>
    <t>SN74AHCT1G125DBVR</t>
  </si>
  <si>
    <t>FC-1244</t>
  </si>
  <si>
    <t>CRCW08052K21FKEA</t>
  </si>
  <si>
    <t>HY-36</t>
  </si>
  <si>
    <t>NRC10J472TR</t>
  </si>
  <si>
    <t>FC-2039</t>
  </si>
  <si>
    <t>ERA-6AEB222V</t>
  </si>
  <si>
    <t>HY-300-001-021</t>
  </si>
  <si>
    <t xml:space="preserve">ABM8-12.000MHZ-B2-T </t>
  </si>
  <si>
    <t>FC-1212</t>
  </si>
  <si>
    <t>RES SMD 5.1K OHM 1% 1/8W 0805</t>
  </si>
  <si>
    <t>ERJ-6ENF5101V</t>
  </si>
  <si>
    <t>DSZ5226Z</t>
  </si>
  <si>
    <t>SMT - TR - 3000</t>
  </si>
  <si>
    <t>MMSZ5226BT1G</t>
  </si>
  <si>
    <t>FC-1201</t>
  </si>
  <si>
    <t>C0805C101K5RACTU</t>
  </si>
  <si>
    <t>FC-1213</t>
  </si>
  <si>
    <t>ERJ-6ENF1542V</t>
  </si>
  <si>
    <t>FC-1202</t>
  </si>
  <si>
    <t>CAP CER 220PF 100V 5% NP0 0805</t>
  </si>
  <si>
    <t>WE-CR100632</t>
  </si>
  <si>
    <t>TVS 400W 40A UNIDIRECT SMA</t>
  </si>
  <si>
    <t>SMAJ5.0A</t>
  </si>
  <si>
    <t>DYNE-26</t>
  </si>
  <si>
    <t>C0805C104K5RACTU</t>
  </si>
  <si>
    <t>FC-1214</t>
  </si>
  <si>
    <t>RES SMD 15 OHM 1% 1/4W 0805</t>
  </si>
  <si>
    <t>RNCP0805FTD15R0</t>
  </si>
  <si>
    <t>HY-650-089-012</t>
  </si>
  <si>
    <t>Speedometer Correction PC Board</t>
  </si>
  <si>
    <t>650-089-012</t>
  </si>
  <si>
    <t>HY-500-003-017</t>
  </si>
  <si>
    <t>SWITCH TACTILE SPST-NO 0.05A 32V</t>
  </si>
  <si>
    <t xml:space="preserve">KSC421J70SHLFS </t>
  </si>
  <si>
    <t>HY-950-001-009</t>
  </si>
  <si>
    <t>MOSFET N-CH DUAL 25V SC70-6</t>
  </si>
  <si>
    <t>FDG6303N</t>
  </si>
  <si>
    <t>HY-400-002-012</t>
  </si>
  <si>
    <t>T/H</t>
  </si>
  <si>
    <t>LCD 2 x 16 DISPLAY WITH BACKLIGHT</t>
  </si>
  <si>
    <t>AWC-S16201FYHSAY</t>
  </si>
  <si>
    <t>48-63, 66</t>
  </si>
  <si>
    <t>MSS-1056</t>
  </si>
  <si>
    <t>CAP CER 0.022UF 50V 5% NP0 0805</t>
  </si>
  <si>
    <t>GCM21B5C1H223JA16L</t>
  </si>
  <si>
    <t>FC-1204</t>
  </si>
  <si>
    <t>CL31A106KBHNNNE</t>
  </si>
  <si>
    <t>HY-900-001-039</t>
  </si>
  <si>
    <t>CONN RCPT .100" 1POS SNGL TIN</t>
  </si>
  <si>
    <t>SLW-101-01-T-S</t>
  </si>
  <si>
    <t>HY-500-007-067A</t>
  </si>
  <si>
    <t>500-007-067A</t>
  </si>
  <si>
    <t>31-38</t>
  </si>
  <si>
    <t>HY-500-007-067B</t>
  </si>
  <si>
    <t>500-007-067B</t>
  </si>
  <si>
    <t>41-47</t>
  </si>
  <si>
    <t>HY-500-007-068</t>
  </si>
  <si>
    <t>500-007-068</t>
  </si>
  <si>
    <t>66, 67</t>
  </si>
  <si>
    <t>HY-500-007-069</t>
  </si>
  <si>
    <t>500-007-069</t>
  </si>
  <si>
    <t>66, 68</t>
  </si>
  <si>
    <t>HY-750-001-058</t>
  </si>
  <si>
    <t>SMT-TR-2500</t>
  </si>
  <si>
    <t>E-L9637D013TR</t>
  </si>
  <si>
    <t>HY-900-001-038</t>
  </si>
  <si>
    <t>CONN RCPT .100" 14POS SNGL TIN</t>
  </si>
  <si>
    <t>SLW-114-01-T-S</t>
  </si>
  <si>
    <t>FC-1216</t>
  </si>
  <si>
    <t>B350A-13-F</t>
  </si>
  <si>
    <t>HY-750-001-013</t>
  </si>
  <si>
    <t>SN74LVC1G125DBVR</t>
  </si>
  <si>
    <t>HY-750-001-138</t>
  </si>
  <si>
    <t xml:space="preserve">SN74LVC1G08DCKT </t>
  </si>
  <si>
    <t>FC-1217</t>
  </si>
  <si>
    <t>US1A-13-F</t>
  </si>
  <si>
    <t>WE-CC000014</t>
  </si>
  <si>
    <t xml:space="preserve">CAP 2.2uF 10V 10%, A Size </t>
  </si>
  <si>
    <t>T491A225K010AT</t>
  </si>
  <si>
    <t>VT-1005</t>
  </si>
  <si>
    <t>EEE-1VA221P</t>
  </si>
  <si>
    <t>29, 97</t>
  </si>
  <si>
    <t>HY-500-007-080</t>
  </si>
  <si>
    <t>500-007-080</t>
  </si>
  <si>
    <t>b 21-28</t>
  </si>
  <si>
    <t>FC-2046</t>
  </si>
  <si>
    <t>TL3301NF160QG-KR</t>
  </si>
  <si>
    <t>FC-2038</t>
  </si>
  <si>
    <t>CAP TANT 10UF 20% 35V 2312</t>
  </si>
  <si>
    <t>T491C106M035AT</t>
  </si>
  <si>
    <t>VT-1006</t>
  </si>
  <si>
    <t>EEE-HD1V220AP</t>
  </si>
  <si>
    <t>FC-1203</t>
  </si>
  <si>
    <t>CAP CER 0.22UF 50V Y5V 0805</t>
  </si>
  <si>
    <t>08055G224ZAT2A</t>
  </si>
  <si>
    <t>GY-08-0000-44-0</t>
  </si>
  <si>
    <t>BAT54C-7-F</t>
  </si>
  <si>
    <t>FC-2047</t>
  </si>
  <si>
    <t>CAP CER 0.1uF 50V COG/NOP 1206</t>
  </si>
  <si>
    <t>GCM31C5C1H104FA16L</t>
  </si>
  <si>
    <t>FC-1206</t>
  </si>
  <si>
    <t>EEE-FT1C101AR</t>
  </si>
  <si>
    <t>89, 97</t>
  </si>
  <si>
    <t>FC-2044</t>
  </si>
  <si>
    <t>PREC005SAAN-RC</t>
  </si>
  <si>
    <t>FC-2045</t>
  </si>
  <si>
    <t>PREC003SAAN-RC</t>
  </si>
  <si>
    <t>VT-1007</t>
  </si>
  <si>
    <t>UUX2A100MNL1GS</t>
  </si>
  <si>
    <t>39, 97</t>
  </si>
  <si>
    <t>FC-1209</t>
  </si>
  <si>
    <t>ERJ-6ENF1330V</t>
  </si>
  <si>
    <t>HY-750-001-091</t>
  </si>
  <si>
    <t>SMT- 90 PER TRAY</t>
  </si>
  <si>
    <t>LPC2366FBD100K</t>
  </si>
  <si>
    <t>FC-1302</t>
  </si>
  <si>
    <t>MC78M05CDTRKG</t>
  </si>
  <si>
    <t>FC-1207</t>
  </si>
  <si>
    <t>PTC RESTTBLE 0.25A 24V CHIP 1206</t>
  </si>
  <si>
    <t>0ZCJ0025AF2E</t>
  </si>
  <si>
    <t>FC-1211</t>
  </si>
  <si>
    <t>ERJ-6ENF1200V</t>
  </si>
  <si>
    <t>FC-1208</t>
  </si>
  <si>
    <t>RES SMD 3.3 OHM 5% 1/2W 1206</t>
  </si>
  <si>
    <t>CRCW12063R30JNEAHP</t>
  </si>
  <si>
    <t>HY-850-001-205</t>
  </si>
  <si>
    <t>RES 110 OHM 1W 5% 2512</t>
  </si>
  <si>
    <t>RMCF2512JT110R</t>
  </si>
  <si>
    <t>FC-1231</t>
  </si>
  <si>
    <t>SI4288DY-T1-GE3</t>
  </si>
  <si>
    <t>39, 89</t>
  </si>
  <si>
    <t>FC-1221</t>
  </si>
  <si>
    <t>ZXMP6A13FTA</t>
  </si>
  <si>
    <t>FC-1242</t>
  </si>
  <si>
    <t xml:space="preserve">SN75HVD3082EP </t>
  </si>
  <si>
    <t>FC-1230</t>
  </si>
  <si>
    <t>XTR111AIDGQR</t>
  </si>
  <si>
    <t>FC-1241</t>
  </si>
  <si>
    <t>0225008.HXUP</t>
  </si>
  <si>
    <t>WE-CC000033</t>
  </si>
  <si>
    <t>T491B106K016AT</t>
  </si>
  <si>
    <t>HY-500-007-082</t>
  </si>
  <si>
    <t>500-007-082</t>
  </si>
  <si>
    <t>PCB   6502 MAIN</t>
  </si>
  <si>
    <t>USTX26954</t>
  </si>
  <si>
    <t>RES 133K OHM 1% 1/4W MF</t>
  </si>
  <si>
    <t>RN50D1333F</t>
  </si>
  <si>
    <t>HY-16</t>
  </si>
  <si>
    <t>IC, Improved, 8-Channel/Dual 4-Channel,</t>
  </si>
  <si>
    <t>FC-1308</t>
  </si>
  <si>
    <t>RES ARRAY 1K OHM 4 RES 2012</t>
  </si>
  <si>
    <t>744C083102JP</t>
  </si>
  <si>
    <t>WE-CU014014</t>
  </si>
  <si>
    <t>Oscillator, 48.000 MHZ Clock Oscillator, 5V, 50ppm, SMD,7.5X5mm package</t>
  </si>
  <si>
    <t>RES 49.9 OHM 1/4W 1% CF</t>
  </si>
  <si>
    <t>271-49.9-RC</t>
  </si>
  <si>
    <t>FC-1232</t>
  </si>
  <si>
    <t>LM224DR2G</t>
  </si>
  <si>
    <t>FC-2041</t>
  </si>
  <si>
    <t>MIC2954-03WS-TR</t>
  </si>
  <si>
    <t>FC-2049</t>
  </si>
  <si>
    <t>LED GREEN CLEAR 0805 SMD</t>
  </si>
  <si>
    <t>APT2012CGCK</t>
  </si>
  <si>
    <t>FC-1236</t>
  </si>
  <si>
    <t>FC-1240</t>
  </si>
  <si>
    <t>FC-1233</t>
  </si>
  <si>
    <t>Conn Receptacle 40 Pos 0.100" (2.54mm) Tin</t>
  </si>
  <si>
    <t>M20-7832046</t>
  </si>
  <si>
    <t>FC-2040</t>
  </si>
  <si>
    <t>PIC16F1708-I/SO</t>
  </si>
  <si>
    <t>FC-2043</t>
  </si>
  <si>
    <t>YO0421500000G</t>
  </si>
  <si>
    <t>FC-2051</t>
  </si>
  <si>
    <t>QPC02SXGN-RC</t>
  </si>
  <si>
    <t>FC-1115</t>
  </si>
  <si>
    <t>20020327-D051B01LF</t>
  </si>
  <si>
    <t>FC-PCB574836D</t>
  </si>
  <si>
    <t>RAW BOARD 57-4836 Rev D</t>
  </si>
  <si>
    <t>FC-1222</t>
  </si>
  <si>
    <t>IT-576</t>
  </si>
  <si>
    <t xml:space="preserve">Hex Nut 2-56 Type 18-8 Stainless Steel </t>
  </si>
  <si>
    <t>91841A003</t>
  </si>
  <si>
    <t>VT-1002</t>
  </si>
  <si>
    <t>FC-1229</t>
  </si>
  <si>
    <t>74AHCT125D,118</t>
  </si>
  <si>
    <t>FC-1239</t>
  </si>
  <si>
    <t>TERM BLOCK HDR 8POS R/A 3.81MM</t>
  </si>
  <si>
    <t>FC-1228</t>
  </si>
  <si>
    <t>SN74HCT14DR</t>
  </si>
  <si>
    <t>FC-1223</t>
  </si>
  <si>
    <t>CDRH105RNP-470NC</t>
  </si>
  <si>
    <t>FC-1303</t>
  </si>
  <si>
    <t>MC78M12CDTRKG</t>
  </si>
  <si>
    <t>VT-1046</t>
  </si>
  <si>
    <t>GTCS25-750M-R02-2</t>
  </si>
  <si>
    <t>FC-1237</t>
  </si>
  <si>
    <t>TERM BLOCK HDR 6POS R/A 3.81MM</t>
  </si>
  <si>
    <t>HY-650-114-005</t>
  </si>
  <si>
    <t xml:space="preserve">Raw PC Board for P80 </t>
  </si>
  <si>
    <t>650-114-005</t>
  </si>
  <si>
    <t>WE-CC000017</t>
  </si>
  <si>
    <t>T491C476K010AT</t>
  </si>
  <si>
    <t>FC-1310</t>
  </si>
  <si>
    <t>TSW-102-09-G-S-RA</t>
  </si>
  <si>
    <t>FC-1238</t>
  </si>
  <si>
    <t>TERM BLOCK HDR 10POS R/A 3.81MM</t>
  </si>
  <si>
    <t>FC-1235</t>
  </si>
  <si>
    <t>Conn , D-Sub 9Pos  RA Socket Solder Shell Size E</t>
  </si>
  <si>
    <t>D09S33E4PA00LF</t>
  </si>
  <si>
    <t>FC-1226</t>
  </si>
  <si>
    <t>IC DRVR/RCVR RS232 5V 16-SOIC</t>
  </si>
  <si>
    <t>ST232BDR</t>
  </si>
  <si>
    <t>FC-1225</t>
  </si>
  <si>
    <t>L5970ADTR</t>
  </si>
  <si>
    <t>VT-1056</t>
  </si>
  <si>
    <t>S2G</t>
  </si>
  <si>
    <t>VT-1036</t>
  </si>
  <si>
    <t>WK73S2JTTER240F</t>
  </si>
  <si>
    <t>VT-1045</t>
  </si>
  <si>
    <t>FUSEBLOCK w/FUSE SLOW 125V 1A SMD</t>
  </si>
  <si>
    <t>0154001.DRT</t>
  </si>
  <si>
    <t>VT-1060</t>
  </si>
  <si>
    <t>3SMAJ5937B-TP</t>
  </si>
  <si>
    <t>VT-1038</t>
  </si>
  <si>
    <t>VG181231P650DP</t>
  </si>
  <si>
    <t>VT-1037</t>
  </si>
  <si>
    <t>VC121030H620RP</t>
  </si>
  <si>
    <t>EX-1012</t>
  </si>
  <si>
    <t>IDC BOX HEADER .100" 10POS</t>
  </si>
  <si>
    <t>3020-10-0100-00</t>
  </si>
  <si>
    <t>FC-1306</t>
  </si>
  <si>
    <t>FC-1234</t>
  </si>
  <si>
    <t>M20-7830546</t>
  </si>
  <si>
    <t>VT-1058</t>
  </si>
  <si>
    <t>BTS428L2ATMA1</t>
  </si>
  <si>
    <t>IT-651</t>
  </si>
  <si>
    <t>C3216X7R1H105K160AB</t>
  </si>
  <si>
    <t>MSS-1009</t>
  </si>
  <si>
    <t>TH3D476K016C0600</t>
  </si>
  <si>
    <t>VT-1013</t>
  </si>
  <si>
    <t>CC1206KKX7RCBB561</t>
  </si>
  <si>
    <t>FC-1224</t>
  </si>
  <si>
    <t>TRIMMER 1K OHM 0.2W SMD</t>
  </si>
  <si>
    <t>EVM-1DSX30B13</t>
  </si>
  <si>
    <t>VT-1053</t>
  </si>
  <si>
    <t>PQMC1-D24-S24-S</t>
  </si>
  <si>
    <t>WE-CU017003</t>
  </si>
  <si>
    <t>IC FPGA 2.5V 384 CLB'S 208-PQFP</t>
  </si>
  <si>
    <t>VT-1051</t>
  </si>
  <si>
    <t>LBR2012T100K</t>
  </si>
  <si>
    <t>FC-1305</t>
  </si>
  <si>
    <t>T491D226K025AT</t>
  </si>
  <si>
    <t>FC-1312</t>
  </si>
  <si>
    <t>ROUND SPACER #2 NYLON 3/8"</t>
  </si>
  <si>
    <t>9913-375</t>
  </si>
  <si>
    <t>FC-1315</t>
  </si>
  <si>
    <t>Raw PC Board 50-2185</t>
  </si>
  <si>
    <t>50-2185 Rev 2A</t>
  </si>
  <si>
    <t>VT-1008</t>
  </si>
  <si>
    <t>S103M69Z5UP63K7R</t>
  </si>
  <si>
    <t>FC-1313</t>
  </si>
  <si>
    <t>LCD Display, 4 X 40, 5 X 7 Dots Backlight</t>
  </si>
  <si>
    <t>LCM-S01604DSF</t>
  </si>
  <si>
    <t>VT-1003</t>
  </si>
  <si>
    <t>FC-1314</t>
  </si>
  <si>
    <t>Max-Q Membrane and Back Panel</t>
  </si>
  <si>
    <t>57-2248</t>
  </si>
  <si>
    <t>FC-1227</t>
  </si>
  <si>
    <t>DILB8P-223TLF</t>
  </si>
  <si>
    <t>FC-1301</t>
  </si>
  <si>
    <t xml:space="preserve">LTC485CS8#TRPBF </t>
  </si>
  <si>
    <t>VT-1049</t>
  </si>
  <si>
    <t>PE-52651NL</t>
  </si>
  <si>
    <t>VT-1050</t>
  </si>
  <si>
    <t>NLCV25T-R22M-EFR</t>
  </si>
  <si>
    <t>VT-1062</t>
  </si>
  <si>
    <t xml:space="preserve">TERM BLOCK HDR 2POS VERT 5.08MM </t>
  </si>
  <si>
    <t>FC-1318</t>
  </si>
  <si>
    <t>Header 16Pos 0.1" Single Row</t>
  </si>
  <si>
    <t>TLW-116-06-T-S</t>
  </si>
  <si>
    <t>VT-1004</t>
  </si>
  <si>
    <t>CC-170437</t>
  </si>
  <si>
    <t>VT-1001</t>
  </si>
  <si>
    <t>FC-1304</t>
  </si>
  <si>
    <t>TRIMMER 10K OHM 0.1W SMD</t>
  </si>
  <si>
    <t>TC33X-2-103E</t>
  </si>
  <si>
    <t>FC-1307</t>
  </si>
  <si>
    <t>RES ARRAY 220 OHM 4 RES 2012</t>
  </si>
  <si>
    <t>744C083221J</t>
  </si>
  <si>
    <t>FC-1311</t>
  </si>
  <si>
    <t>ROUND SPACER #2 NYLON 1/8"</t>
  </si>
  <si>
    <t>9913-125</t>
  </si>
  <si>
    <t>FC-1316</t>
  </si>
  <si>
    <t>F221L3/8 BK004</t>
  </si>
  <si>
    <t>FC-1317</t>
  </si>
  <si>
    <t>68021-210HLF</t>
  </si>
  <si>
    <t>FC-PCB574837</t>
  </si>
  <si>
    <t>RAW PC BOARD FOR I/O INTERFACE</t>
  </si>
  <si>
    <t>57-4837</t>
  </si>
  <si>
    <t>VT-1047</t>
  </si>
  <si>
    <t>EV20-1.0-02-3M9</t>
  </si>
  <si>
    <t>VT-1052</t>
  </si>
  <si>
    <t>CBC3225T220MR</t>
  </si>
  <si>
    <t>VT-1054</t>
  </si>
  <si>
    <t>MMSD4148T1G</t>
  </si>
  <si>
    <t>VT-1061</t>
  </si>
  <si>
    <t>PC Board 24VDC Input Rev 2  RoHS</t>
  </si>
  <si>
    <t>600350-000-REV2</t>
  </si>
  <si>
    <t>WE-CU007013</t>
  </si>
  <si>
    <t>XCF01SVOG20C</t>
  </si>
  <si>
    <t>WE-CU012045</t>
  </si>
  <si>
    <t>IC 700MW LV AUD PWR AMP 8-MSOP</t>
  </si>
  <si>
    <t>TPA741DGNR</t>
  </si>
  <si>
    <t>WE-CU009011</t>
  </si>
  <si>
    <t>Transformer Driver for Isolated DC-DC Converter  SMT SO-8  T/R ONLY</t>
  </si>
  <si>
    <t>MAX253CSA+</t>
  </si>
  <si>
    <t>WE-CU011039</t>
  </si>
  <si>
    <t>IC VOLT REG ADJ MICRPWR 8-SOIC  T/R ONLY</t>
  </si>
  <si>
    <t>LP2951ACMX/NOPB</t>
  </si>
  <si>
    <t>WE-CU011035</t>
  </si>
  <si>
    <t xml:space="preserve">IC 3.3V/2.5V LDO REG 24-HTSSOP </t>
  </si>
  <si>
    <t>TPS70358PWP</t>
  </si>
  <si>
    <t>WE-CS000062</t>
  </si>
  <si>
    <t xml:space="preserve">SWITCH DIGITAL CONTACTING  ENCODER 2 BIT QUAD W/DETENTS </t>
  </si>
  <si>
    <t>290VAA5F201A2</t>
  </si>
  <si>
    <t>WE-CJ000145</t>
  </si>
  <si>
    <t>87227-4</t>
  </si>
  <si>
    <t>WE-CT000011</t>
  </si>
  <si>
    <t>PC Mount, Mini Power Isolation Transformer for MAX253, 1:1.36 C.T., SMT</t>
  </si>
  <si>
    <t>78253/55MV</t>
  </si>
  <si>
    <t>WE-CU012055</t>
  </si>
  <si>
    <t>IC DUAL RAIL-RAIL OP AMP 8-SOIC  T/R ONLY</t>
  </si>
  <si>
    <t>TLC2272ACDR</t>
  </si>
  <si>
    <t>WE-CJ000301</t>
  </si>
  <si>
    <t xml:space="preserve">PROTECT HEADER RT ANG 26 CONTACT </t>
  </si>
  <si>
    <t xml:space="preserve">N3429-5002RB </t>
  </si>
  <si>
    <t>WE-CJ000052</t>
  </si>
  <si>
    <t xml:space="preserve">MTA-100 CONN HEADER RTANG 3POS .100 TIN </t>
  </si>
  <si>
    <t>640457-3</t>
  </si>
  <si>
    <t>WE-CR100634</t>
  </si>
  <si>
    <t>TVS, 15V 400W UniDir. SMT Marked "BM"</t>
  </si>
  <si>
    <t>SMAJ15A</t>
  </si>
  <si>
    <t>WE-CU016003</t>
  </si>
  <si>
    <t>Speaker PCB Mount  91dB 32mm</t>
  </si>
  <si>
    <t>SAC-30A-45-MC-3.7</t>
  </si>
  <si>
    <t>WE-CJ000303</t>
  </si>
  <si>
    <t xml:space="preserve">PROTECT HEADER RT/ANG 50 CONTACT </t>
  </si>
  <si>
    <t>3433-5002</t>
  </si>
  <si>
    <t>WE-CU012046</t>
  </si>
  <si>
    <t xml:space="preserve">IC RHEOSTAT DALLASTAT 100K 8SOIC </t>
  </si>
  <si>
    <t>DS1809Z-100+</t>
  </si>
  <si>
    <t>WE-CU012059</t>
  </si>
  <si>
    <t>LM3914VX/NOPB</t>
  </si>
  <si>
    <t>WE-CU023014</t>
  </si>
  <si>
    <t>MM74HC14MX</t>
  </si>
  <si>
    <t>CONN SMB JACK STR 50 OHM PCB</t>
  </si>
  <si>
    <t>131-3701-266</t>
  </si>
  <si>
    <t>3299X-1-103LF</t>
  </si>
  <si>
    <t>RES 10K OHM 1/4W 1% MF</t>
  </si>
  <si>
    <t>271-10K-RC</t>
  </si>
  <si>
    <t>RES 1M 1/4W 1% CF</t>
  </si>
  <si>
    <t>271-1.0M-RC</t>
  </si>
  <si>
    <t>RES 150 OHM 1/4W 1% CF</t>
  </si>
  <si>
    <t>271-150-RC</t>
  </si>
  <si>
    <t>RES   1.8M OHM 1/4W 5% CF</t>
  </si>
  <si>
    <t>291-1.8M-RC</t>
  </si>
  <si>
    <t>RES 10M OHM 5% 1/4W CF</t>
  </si>
  <si>
    <t>291-10M-RC</t>
  </si>
  <si>
    <t>RES 15K 1/4W 5% CF</t>
  </si>
  <si>
    <t>291-15K-RC</t>
  </si>
  <si>
    <t>MF0W4FF3302B00</t>
  </si>
  <si>
    <t>RES 470K 1/4W 5% CF</t>
  </si>
  <si>
    <t>291-470k-RC</t>
  </si>
  <si>
    <t>WE-CJ000305</t>
  </si>
  <si>
    <t>Ejector Latch for 3M Click Headers (Short Length)</t>
  </si>
  <si>
    <t>3505-2</t>
  </si>
  <si>
    <t>WE-CJ000937</t>
  </si>
  <si>
    <t>CNX-H02-NTP</t>
  </si>
  <si>
    <t>WE-CU015017</t>
  </si>
  <si>
    <t>RELAY SSR 120MA 4PIN SOP</t>
  </si>
  <si>
    <t>CPC1150NTR</t>
  </si>
  <si>
    <t>FC-578350</t>
  </si>
  <si>
    <t>Raw Card Jumper Board</t>
  </si>
  <si>
    <t>WE-CU016012</t>
  </si>
  <si>
    <t>IC TVS ARRAY ESD UNIDIR 8-SOIC  T/R ONLY</t>
  </si>
  <si>
    <t>ESDA6V1U1RL</t>
  </si>
  <si>
    <t>C410C104M5U5TA</t>
  </si>
  <si>
    <t>C330C105K5R5TA</t>
  </si>
  <si>
    <t>SOCK   8PIN DIP</t>
  </si>
  <si>
    <t>1-2199298-2</t>
  </si>
  <si>
    <t>RES 1K OHM 1/4W 1% CF</t>
  </si>
  <si>
    <t>RNK1001F</t>
  </si>
  <si>
    <t>291-4.7K-RC</t>
  </si>
  <si>
    <t>WE-CU015016</t>
  </si>
  <si>
    <t>RELAY SSR 120MA 4PIN SOP  T/R ONLY</t>
  </si>
  <si>
    <t>CPC1035NTR</t>
  </si>
  <si>
    <t>WE-CR100633</t>
  </si>
  <si>
    <t>TVS, 5V 400W BiDir. SMT  (Cut Tape or T/R)</t>
  </si>
  <si>
    <t>SMAJ5.0CA-E3/61</t>
  </si>
  <si>
    <t>WE-CU015015</t>
  </si>
  <si>
    <t>OPTOCOUPLER TRANS-OUT 2CH 8-SOIC</t>
  </si>
  <si>
    <t>MOCD207-M</t>
  </si>
  <si>
    <t>RES 100 OHM   1/4W   5% CF</t>
  </si>
  <si>
    <t>291-100-RC</t>
  </si>
  <si>
    <t>CC-170632PCA</t>
  </si>
  <si>
    <t>ZZ-EFI HAND HELD</t>
  </si>
  <si>
    <t>CC-170650</t>
  </si>
  <si>
    <t>CC-170654</t>
  </si>
  <si>
    <t>ENCLOSURE DUAL WIDEBAND</t>
  </si>
  <si>
    <t>B7010209</t>
  </si>
  <si>
    <t>CC-PJ102AH</t>
  </si>
  <si>
    <t>CON PJ102AH</t>
  </si>
  <si>
    <t>PJ-102AH</t>
  </si>
  <si>
    <t>TAP476M020HSB</t>
  </si>
  <si>
    <t>CO33UF16E</t>
  </si>
  <si>
    <t>EMVE250ADA330MF55G</t>
  </si>
  <si>
    <t>ICS256A</t>
  </si>
  <si>
    <t>CE.22uF25C</t>
  </si>
  <si>
    <t>KGM21AR71E224KU</t>
  </si>
  <si>
    <t>C410C103K5R5TA7200</t>
  </si>
  <si>
    <t>CC-170657</t>
  </si>
  <si>
    <t>Screw  #4 X1 Flat Phil</t>
  </si>
  <si>
    <t>06-10056-220K</t>
  </si>
  <si>
    <t>RES 220K 5% 1/16W 0402 RoHS</t>
  </si>
  <si>
    <t>21-10110-0104</t>
  </si>
  <si>
    <t>CAP CER 0.1UF 16V 10% X7R 0402</t>
  </si>
  <si>
    <t>06-10004-510R</t>
  </si>
  <si>
    <t>RES TF 1/10W 510R 5% 0603 RoHS</t>
  </si>
  <si>
    <t>06-10002-10R0</t>
  </si>
  <si>
    <t>06-10002-3K30</t>
  </si>
  <si>
    <t>RES TF 1/10W 3K3 1% 0603 RoHS</t>
  </si>
  <si>
    <t>06-10002-33K2</t>
  </si>
  <si>
    <t>21-10038-0471</t>
  </si>
  <si>
    <t>CAP MONO 470pF/50V 10% X7R 0603 RoHS</t>
  </si>
  <si>
    <t>21-10038-0472</t>
  </si>
  <si>
    <t>06-10009-1K30</t>
  </si>
  <si>
    <t>RES 1.30K OHM 1/8W 1% 0805 RoHS</t>
  </si>
  <si>
    <t>06-10009-5K60</t>
  </si>
  <si>
    <r>
      <t xml:space="preserve">RES SMD 5.6K OHM </t>
    </r>
    <r>
      <rPr>
        <b/>
        <sz val="11"/>
        <color rgb="FFFF0000"/>
        <rFont val="Aptos Narrow"/>
        <family val="2"/>
        <scheme val="minor"/>
      </rPr>
      <t>1%</t>
    </r>
    <r>
      <rPr>
        <sz val="11"/>
        <color theme="1"/>
        <rFont val="Aptos Narrow"/>
        <family val="2"/>
        <scheme val="minor"/>
      </rPr>
      <t xml:space="preserve"> 1/8W 0805</t>
    </r>
  </si>
  <si>
    <t>06-10009-3K92</t>
  </si>
  <si>
    <t>RES 3.92K OHM 1/8W 1% 0805 RoHS</t>
  </si>
  <si>
    <t>06-10009-2K21</t>
  </si>
  <si>
    <t>RES 2.21K OHM 1% 1/8W 0805 RoHS</t>
  </si>
  <si>
    <t>06-10009-4K70</t>
  </si>
  <si>
    <t>RES 4.7K 5% 1/8W 0805 RoHS</t>
  </si>
  <si>
    <t>RES SMD 2.2K OHM 0.1% 1/8W 0805 RoHS</t>
  </si>
  <si>
    <t>06-10009-5K10</t>
  </si>
  <si>
    <t>21-10020-0101</t>
  </si>
  <si>
    <t>CAP MONO 100PF/50V 10% X7R 0805 RoHS</t>
  </si>
  <si>
    <t>06-10009-15K4</t>
  </si>
  <si>
    <t>RES SMD 15.4K OHM 1% 1/8W 0805 RoHS</t>
  </si>
  <si>
    <t>21-10020-0104</t>
  </si>
  <si>
    <t>CAP MONO 0.1UF 50V 10% X7R 0805 RoHS</t>
  </si>
  <si>
    <t>21-10020-0224</t>
  </si>
  <si>
    <t>06-10009-133R</t>
  </si>
  <si>
    <t>06-10009-120R</t>
  </si>
  <si>
    <t>RES SMD 133 OHM 1% 1/8W 0805 RoHS</t>
  </si>
  <si>
    <t>RES SMD 120 OHM 1% 1/8W 0805 RoHS</t>
  </si>
  <si>
    <t>CAP MONO 0.22uF 25V 10% X7R 0805 RoHS</t>
  </si>
  <si>
    <t>21-10059-0106</t>
  </si>
  <si>
    <t>CAP MONO 10uF/50V 10% X7R 1206 RoHS</t>
  </si>
  <si>
    <t>Updated</t>
  </si>
  <si>
    <t>65-10029-B001</t>
  </si>
  <si>
    <t>06-10134-3R30</t>
  </si>
  <si>
    <t>21-10059-0105</t>
  </si>
  <si>
    <t>CAP MONO 1uF/50V 10% X7R 1206 RoHS</t>
  </si>
  <si>
    <t>23-10163-0225</t>
  </si>
  <si>
    <t>23-10169-0106</t>
  </si>
  <si>
    <t>CAP TANT 10UF 10% 16V 1411 RoHS</t>
  </si>
  <si>
    <t>23-10153-0106</t>
  </si>
  <si>
    <t>23-10078-0476</t>
  </si>
  <si>
    <t>CAP TANT 47UF 10% 10V 2312 RoHS</t>
  </si>
  <si>
    <t>23-10139-0476</t>
  </si>
  <si>
    <t>23-10170-0226</t>
  </si>
  <si>
    <t>CAP TANT 47UF 16V 10% 2917 RoHS</t>
  </si>
  <si>
    <t>CAP TANT 22UF 25V 10% 2917 RoHS</t>
  </si>
  <si>
    <t>SWITCH TACTILE SPST-NO 0.05A 12V</t>
  </si>
  <si>
    <t>48-10019-A004</t>
  </si>
  <si>
    <t>48-10012-A002</t>
  </si>
  <si>
    <t>DIODE GEN PURP 100V 200MA SOD123 RoHS</t>
  </si>
  <si>
    <t>DIODE ZENER 3.3V Z5226 SOD-123 RoHS</t>
  </si>
  <si>
    <t>DIODE ZENER 3SMAJ5937 3W 33V 5% SMA RoHS</t>
  </si>
  <si>
    <t>DIODE RECTIFIER S2G 400V 2A SMB RoHS</t>
  </si>
  <si>
    <t>DIODE SCHTKY BAT54C 30V 200MA SOT-23-3 RoHS</t>
  </si>
  <si>
    <t>DIODE US1A 50V 1A SMA RoHS</t>
  </si>
  <si>
    <t>DIODE SCHTKY B350A 50V 3A SMA RoHS</t>
  </si>
  <si>
    <t>48-10477-A001</t>
  </si>
  <si>
    <t>48-10478-A001</t>
  </si>
  <si>
    <t>48-10479-A001</t>
  </si>
  <si>
    <t>48-10480-A001</t>
  </si>
  <si>
    <t>48-10077-A001</t>
  </si>
  <si>
    <t>IND FIXED 47UH 2A 130 MOHM SMT RoHS</t>
  </si>
  <si>
    <t>IND FIXED 10UH 150MA 360 MOHM SMT RoHS</t>
  </si>
  <si>
    <t>IND FIXED 1MH 500MA 2.6 OHM TH RoHS</t>
  </si>
  <si>
    <t>IND FIXED 220NH 1.69A 60 MOHM SMT RoHS</t>
  </si>
  <si>
    <t>IND FIXED 22UH 620MA 270 MOHM SMT RoHS</t>
  </si>
  <si>
    <t>24-10113-A001</t>
  </si>
  <si>
    <t>24-10114-A001</t>
  </si>
  <si>
    <t>24-10115-A001</t>
  </si>
  <si>
    <t>24-10112-A001</t>
  </si>
  <si>
    <t>24-10109-A001</t>
  </si>
  <si>
    <t>28-10237-A004</t>
  </si>
  <si>
    <t>28-10174-A004</t>
  </si>
  <si>
    <t xml:space="preserve">28-10237-A008 </t>
  </si>
  <si>
    <t>28-10174-A006</t>
  </si>
  <si>
    <t>28-10174-A010</t>
  </si>
  <si>
    <t>TERM, BLOCK, HDR, 4POS, 3.81MM, 90DEG, RoHS</t>
  </si>
  <si>
    <t>TERM BLOCK HDR 4POS DUAL LEVEL 3.81MM RA TH RoHS</t>
  </si>
  <si>
    <t>28-10179-B002</t>
  </si>
  <si>
    <t>TERM, BLOCK, SCREW, 90DEG, 3.81mmLS, 13.5A, TH, 4P, RoHS</t>
  </si>
  <si>
    <t>31-10019-B004</t>
  </si>
  <si>
    <t>28-10179-B004</t>
  </si>
  <si>
    <t>28-10238-B004</t>
  </si>
  <si>
    <t>TERM BLOCK PLUG 4POS STR 3.5MM Black RoHS</t>
  </si>
  <si>
    <t>TERM BLOCK PLUG 8POS STR 3.5MM Black RoHS</t>
  </si>
  <si>
    <t>28-10238-B008</t>
  </si>
  <si>
    <t>TERM BLOCK PLUG 2POS STR 5.08MM BLACK RoHS</t>
  </si>
  <si>
    <t>TERM BLOCK PLUG 4POS STR 5.08MM BLACK RoHS</t>
  </si>
  <si>
    <t>31-10019-A004</t>
  </si>
  <si>
    <t>TERM, BLOCK, SCREW, 90DEG, 3.81mmLS, 10A, TH, 4P, RoHS</t>
  </si>
  <si>
    <t>31-10019-A005</t>
  </si>
  <si>
    <t>TERM, BLOCK, SCREW, 90DEG, 3.81mmLS, 10A, TH, 5P, RoHS</t>
  </si>
  <si>
    <t>Need Alternate</t>
  </si>
  <si>
    <t>28-10222-A002</t>
  </si>
  <si>
    <t>48-10411-A001</t>
  </si>
  <si>
    <t>Add as alternate</t>
  </si>
  <si>
    <t>NPR</t>
  </si>
  <si>
    <t>28-10187-A003</t>
  </si>
  <si>
    <t>51-10593-A001</t>
  </si>
  <si>
    <t>Find on BOM</t>
  </si>
  <si>
    <t>21-10095-0100</t>
  </si>
  <si>
    <t>CAP CER 1UF +/-10% 50V X7R RADIAL TH RoHS</t>
  </si>
  <si>
    <t>65-10080-A002</t>
  </si>
  <si>
    <t>51-10591-A001</t>
  </si>
  <si>
    <t>80-10067-A001</t>
  </si>
  <si>
    <t>48-10323-B001</t>
  </si>
  <si>
    <t>CONN HEADER 8POS VERT 2.54MM DR 2 x 4 GOLD RoHS</t>
  </si>
  <si>
    <t>51-10590-A001</t>
  </si>
  <si>
    <t>51-10587-A001</t>
  </si>
  <si>
    <t>51-10589-A001</t>
  </si>
  <si>
    <t>51-10588-A001</t>
  </si>
  <si>
    <t>18-10023-A001</t>
  </si>
  <si>
    <t>28-10220-B008</t>
  </si>
  <si>
    <t>51-10592-A001</t>
  </si>
  <si>
    <t>28-10034-B003</t>
  </si>
  <si>
    <t>48-10471-A001</t>
  </si>
  <si>
    <t>80-10069-A001</t>
  </si>
  <si>
    <t>80-10068-A001</t>
  </si>
  <si>
    <t>48-10470-A001</t>
  </si>
  <si>
    <t>IC NCS2202 GP COMPARATOR OD 5-TSOP RoHS</t>
  </si>
  <si>
    <t>IC 74AHCT1G125 BUS BUFF TRI-ST NON-INV SOT23-5 RoHS</t>
  </si>
  <si>
    <t>IC L9637 TXCV INTERFACE BUS ISO 9141 8-SOIC RoHS</t>
  </si>
  <si>
    <t>51-10620-A001</t>
  </si>
  <si>
    <t>51-10620-A002</t>
  </si>
  <si>
    <t>IC SN74LVC1G125 BUS BUFF TRI-ST NON-INV SOT23-5 RoHS</t>
  </si>
  <si>
    <t>51-10608-A001</t>
  </si>
  <si>
    <t>51-10609-A001</t>
  </si>
  <si>
    <t>51-10610-A001</t>
  </si>
  <si>
    <t>IC 74LVC1G08 GATE AND 1CH 2-INP 5-TSSOP RoHS</t>
  </si>
  <si>
    <t>51-10621-A001</t>
  </si>
  <si>
    <t>51-10611-A001</t>
  </si>
  <si>
    <t>IC MC78M05CDTRKG REG LDO 5V 0.5A DPAK RoHS</t>
  </si>
  <si>
    <t>51-10612-A001</t>
  </si>
  <si>
    <t>IC 75HVD3082 RS485 TXRX 8-PDIP RoHS</t>
  </si>
  <si>
    <t>IC XTR111 PREC VOLT-CURR CONV/TX 10MSOP RoHS</t>
  </si>
  <si>
    <t>IC LM224 OPAMP 4 Circuit GP 1MHZ 14SOIC RoHS</t>
  </si>
  <si>
    <t>IC LPC2366 ARM7 MCU FLASH 256K 100LQFP RoHS</t>
  </si>
  <si>
    <t>IC MIC2954 REG LINEAR 5V 250MA SOT223-3 RoHS</t>
  </si>
  <si>
    <t>IC PIC16F1708 MCU 8BIT 7KB FLASH 20SOIC RoHS</t>
  </si>
  <si>
    <t>IC 74AHCT125 BUFFER/DVR TRI-ST QD 14SOIC RoHS</t>
  </si>
  <si>
    <t>IC 74HCT14 HEX SCHMITT-TRIG 6CH INV 14-SOIC RoHS</t>
  </si>
  <si>
    <t>51-10151-A001</t>
  </si>
  <si>
    <t>IC MC78M12 REG LDO 12V 0.5A DPAK RoHS</t>
  </si>
  <si>
    <t>IC LTC485 TXRX INTRFC RS485 LOPWR 8SOIC RoHS</t>
  </si>
  <si>
    <t>IC MM74HC14MX INVERT SCHMITT 6CH 1IN 14SOIC RoHS</t>
  </si>
  <si>
    <t>51-10603-A001</t>
  </si>
  <si>
    <t>51-10602-A001</t>
  </si>
  <si>
    <t>51-10613-A001</t>
  </si>
  <si>
    <t>51-10614-A001</t>
  </si>
  <si>
    <t>51-10293-B001</t>
  </si>
  <si>
    <t>51-10616-A001</t>
  </si>
  <si>
    <t>51-10618-A001</t>
  </si>
  <si>
    <t>51-10617-A001</t>
  </si>
  <si>
    <t>06-10028-110R</t>
  </si>
  <si>
    <t>06-10042-33K0</t>
  </si>
  <si>
    <t>06-10042-133K</t>
  </si>
  <si>
    <t>06-10042-49R9</t>
  </si>
  <si>
    <t>06-10042-1M00</t>
  </si>
  <si>
    <t>06-10042-150R</t>
  </si>
  <si>
    <t>06-10042-4K70</t>
  </si>
  <si>
    <t>06-10042-10K0</t>
  </si>
  <si>
    <t>06-10030-1M80</t>
  </si>
  <si>
    <t>06-10030-10M0</t>
  </si>
  <si>
    <t>06-10030-15K0</t>
  </si>
  <si>
    <t>RES 33K OHM 1% 1/4W MF</t>
  </si>
  <si>
    <t>06-10030-470K</t>
  </si>
  <si>
    <t>06-10030-4K70</t>
  </si>
  <si>
    <t>RES  4.7K OHM 1/4W 5% CF</t>
  </si>
  <si>
    <t>06-10030-100R</t>
  </si>
  <si>
    <t>06-10135-1K00</t>
  </si>
  <si>
    <t>06-10135-220R</t>
  </si>
  <si>
    <t>TRIMPOT 10K 0.5W TH RoHS</t>
  </si>
  <si>
    <t>18-10025-A001</t>
  </si>
  <si>
    <t>RES  0.24 OHM 1W 1% 1812 RoHS</t>
  </si>
  <si>
    <t>06-10142-0R24</t>
  </si>
  <si>
    <t>51-10366-B001</t>
  </si>
  <si>
    <t>51-10619-A001</t>
  </si>
  <si>
    <t>IC L5970AD REG BUCK ADJ 1.5A 8SOIC RoHS</t>
  </si>
  <si>
    <t>51-10622-A001</t>
  </si>
  <si>
    <t>IC REG LDO 9V 500MA DPAK RoHS</t>
  </si>
  <si>
    <t>KA7809ERTM (New MC78M09CDTRKG)</t>
  </si>
  <si>
    <t>XC2S50-5PQG208C</t>
  </si>
  <si>
    <t>51-10598-A001</t>
  </si>
  <si>
    <t>51-10597-A001</t>
  </si>
  <si>
    <t>IC LM3914VX DRIVER DOT BAR DISPLAY 20PLCC RoHS</t>
  </si>
  <si>
    <t xml:space="preserve">IC FLASH XCF01 ISP FPGA PROM 1Mb20- TSSOP SMT RoHS  </t>
  </si>
  <si>
    <t>???</t>
  </si>
  <si>
    <t>48-10476-A001</t>
  </si>
  <si>
    <t>MOSFET SI4288DY 2N-CH 40V 9.2A 8SOIC RoHS</t>
  </si>
  <si>
    <t>48-10481-A001</t>
  </si>
  <si>
    <t>XTAL 12.0000MHZ 18PF 4-SMD RoHS</t>
  </si>
  <si>
    <t>40-10042-A001</t>
  </si>
  <si>
    <t>MOV VG181231P650DP 39V 800A 1812 SMT RoHS</t>
  </si>
  <si>
    <t>MOV VC121030H620RP 41V 280A 1210 SMT RoHS</t>
  </si>
  <si>
    <t>06-10143-A001</t>
  </si>
  <si>
    <t>06-10144-A001</t>
  </si>
  <si>
    <t>18-10024-A001</t>
  </si>
  <si>
    <t>72-10041-A001</t>
  </si>
  <si>
    <t>40-10043-A001</t>
  </si>
  <si>
    <t>MOSFET ZXMP6A13FTA P-CH 60V 900MA SOT23-3 RoHS</t>
  </si>
  <si>
    <t>48-10482-A001</t>
  </si>
  <si>
    <t>09-10073-A001</t>
  </si>
  <si>
    <t>09-10073-A014</t>
  </si>
  <si>
    <t>54-10092-0000</t>
  </si>
  <si>
    <t>54-10093-0000</t>
  </si>
  <si>
    <t>65-10084-A001</t>
  </si>
  <si>
    <t>FUSE FAST BLO GLASS 8A 125VAC 2AG 5x15MM RoHS</t>
  </si>
  <si>
    <t>CAP ALUM 220UF 20% 35V SMD 10MMD 10.2MMH 10.33MMLS RoHS</t>
  </si>
  <si>
    <t>23-10171-0227</t>
  </si>
  <si>
    <t>CAP ALUM 22UF 20% 35V SMD 6.3MMD 5.8MMH 6.6MMLS RoHS</t>
  </si>
  <si>
    <t>23-</t>
  </si>
  <si>
    <t>CAP ALUM 100UF 20% 16V SMD 5MMD 6.1MMH 5.3MMLS RoHS</t>
  </si>
  <si>
    <t>CAP ALUM 10UF 20% 100V SMD 8MMD 10.5MMH 8.3MMLS RoHS</t>
  </si>
  <si>
    <t>CAP CER 10000PF 20% 2KV Z5U 17.5MMD 7.5MMLS RADIAL TH RoHS</t>
  </si>
  <si>
    <t>CAP CER 0.1UF 20% 50V Z5U AXIAL TH RoHS</t>
  </si>
  <si>
    <t>CAP TANT 47uF 20V 20% 8.5MMD 6.35MMLS RADIAL TH RoHS</t>
  </si>
  <si>
    <t>CAP ALUM 33UF 20% 25V SMD 6.3MMD 5.2MMH 6.6MMLS RoHS</t>
  </si>
  <si>
    <t>CAP CER 10000PF 50V 10% X7R AXIAL TH RoHS</t>
  </si>
  <si>
    <t>28-10236-A008</t>
  </si>
  <si>
    <t>CONN 8POS DR IC DIP SOCKET 0.3" TIN TH RoHS</t>
  </si>
  <si>
    <t>CONN HEADER VERT 5POS 2.54MM TIN RoHS</t>
  </si>
  <si>
    <t>CONN HEADER VERT 3POS 2.54MM TIN RoHS</t>
  </si>
  <si>
    <t>28-10020-B005</t>
  </si>
  <si>
    <t>28-10020-B003</t>
  </si>
  <si>
    <t>09-10057-A040</t>
  </si>
  <si>
    <t>28-10239-A002</t>
  </si>
  <si>
    <t>CONN HEADER 2POS RA GOLD SR 0.100 TH RoHS</t>
  </si>
  <si>
    <t>CONN HEADER 10POS RA GOLD DR 0.100 TH RoHS</t>
  </si>
  <si>
    <t>28-10240-A010</t>
  </si>
  <si>
    <t>28-10240-A009</t>
  </si>
  <si>
    <t>15-10124-000A</t>
  </si>
  <si>
    <t>15-10124-C00A</t>
  </si>
  <si>
    <t>15-10126-0000</t>
  </si>
  <si>
    <t>15-10127-0000</t>
  </si>
  <si>
    <t>15-10125-0000</t>
  </si>
  <si>
    <t>54-10091-0000</t>
  </si>
  <si>
    <t>Button, 500-007-068, Gray, Up/Down</t>
  </si>
  <si>
    <t>Button, 500-007-069, Gray, Yes/No</t>
  </si>
  <si>
    <t>Enclosure, 500-007-080, Top &amp; Bottom  Red</t>
  </si>
  <si>
    <t>Cover, 500-007-067A, Black Plastic, for P80</t>
  </si>
  <si>
    <t>Housing, 500-007-067B, Black Plastic, for P80</t>
  </si>
  <si>
    <t>OVERLAY, CC-170437, MEMBRANE SWITCH</t>
  </si>
  <si>
    <t>OVERLAY, CC-170650, EZ TCU</t>
  </si>
  <si>
    <t>Decal, 500-007-082, Rough Country</t>
  </si>
  <si>
    <t>48-10483-A001</t>
  </si>
  <si>
    <t>23-10171-0107</t>
  </si>
  <si>
    <t>23-10172-0106</t>
  </si>
  <si>
    <t>23-10173-0103</t>
  </si>
  <si>
    <t>23-10174-0104</t>
  </si>
  <si>
    <t>23-10175-0476</t>
  </si>
  <si>
    <t>23-10176-0336</t>
  </si>
  <si>
    <t>23-10177-0103</t>
  </si>
  <si>
    <t>03-10043-A001</t>
  </si>
  <si>
    <t>CMC RFI SUPP 3.9mH@400Hz 1A 2LN TH</t>
  </si>
  <si>
    <t>24-10116-A001</t>
  </si>
  <si>
    <t>09-10074-A001</t>
  </si>
  <si>
    <t>CONN, SHUNT, 2P, 0.1, ROHS</t>
  </si>
  <si>
    <t>28-10033-A010</t>
  </si>
  <si>
    <t>09-10057-A010</t>
  </si>
  <si>
    <t>CONN DUAL 10P RECEPTACLE 0.100" TOP TH ROHS</t>
  </si>
  <si>
    <t>51-10623-A001</t>
  </si>
  <si>
    <t>IC BTS428L2 PWR SWITCH MOSFET N-CHAN 1:1 TO252-5 RoHS</t>
  </si>
  <si>
    <t>IC PQMC1 DC/DC CONV PWR Module 24V 1W RoHS</t>
  </si>
  <si>
    <t>51-10624-A001</t>
  </si>
  <si>
    <t>65-10085-A001</t>
  </si>
  <si>
    <t>GAS DISCHARGE TUBE 75V 2.5KA 2 POLE SMT RoHS</t>
  </si>
  <si>
    <t>54-10094-0000</t>
  </si>
  <si>
    <t>18-10026-A001</t>
  </si>
  <si>
    <t>51-10625-A001</t>
  </si>
  <si>
    <t>09-10075-A001</t>
  </si>
  <si>
    <t xml:space="preserve">CONN HEADER CNX  2POS LOCKING SR 0.100 </t>
  </si>
  <si>
    <t>28-10246-A002</t>
  </si>
  <si>
    <t>15-10123-0000</t>
  </si>
  <si>
    <t>51-10601-A001</t>
  </si>
  <si>
    <t>51-10594-A001</t>
  </si>
  <si>
    <t>84-20078-00X1</t>
  </si>
  <si>
    <t>84-20084-00X1</t>
  </si>
  <si>
    <t>84-20085-00X1</t>
  </si>
  <si>
    <t>84-20079-00X1</t>
  </si>
  <si>
    <t>84-20087-00X1</t>
  </si>
  <si>
    <t>84-20081-00X1</t>
  </si>
  <si>
    <t>84-20086-00X1</t>
  </si>
  <si>
    <t>84-20052-00X1</t>
  </si>
  <si>
    <t>06-10007-2K20</t>
  </si>
  <si>
    <t>21-10055-0221</t>
  </si>
  <si>
    <t>C0805C221J1GACTU</t>
  </si>
  <si>
    <t>06-10123-15R0</t>
  </si>
  <si>
    <t>21-10049-0223</t>
  </si>
  <si>
    <t>21-10136-0104</t>
  </si>
  <si>
    <t xml:space="preserve">CAP CER 560PF 1KV 10% X7R 1206 </t>
  </si>
  <si>
    <t>21-10137-0561</t>
  </si>
  <si>
    <t>72-10042-A001</t>
  </si>
  <si>
    <t>37-10005-A001</t>
  </si>
  <si>
    <t>Tubing Heat Shrink 0.375" LSZH 2:1 10' Black</t>
  </si>
  <si>
    <t>25LC256T-I/SN</t>
  </si>
  <si>
    <t>IC 25LC256 SRL EEPROM SPI 256K 8SOIC RoHS</t>
  </si>
  <si>
    <t>51-10626-A001</t>
  </si>
  <si>
    <t>ASL-48.000MHZ-ECS-50</t>
  </si>
  <si>
    <t>48-10469-A001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</si>
</sst>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quotePrefix="1"/>
    <xf numFmtId="0" fontId="0" fillId="2" borderId="0" xfId="0" quotePrefix="1" applyFill="1"/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0" borderId="1" xfId="0" applyBorder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_Products\EC068000%20-%20SF%20Technologies%20Products\_Customer%20General%20Documentation\SFTech%20Component%20Cost\Copy%20of%20Parts%20to%20be%20Added.xlsx" TargetMode="External"/><Relationship Id="rId1" Type="http://schemas.openxmlformats.org/officeDocument/2006/relationships/externalLinkPath" Target="Copy%20of%20Parts%20to%20be%20Add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>
        <row r="1">
          <cell r="B1" t="str">
            <v>P/N</v>
          </cell>
          <cell r="N1" t="str">
            <v>Elan P/N</v>
          </cell>
        </row>
        <row r="2">
          <cell r="B2" t="str">
            <v>HY-850-005-005</v>
          </cell>
          <cell r="N2" t="str">
            <v>06-10056-220K</v>
          </cell>
        </row>
        <row r="3">
          <cell r="B3" t="str">
            <v>HY-850-001-109</v>
          </cell>
          <cell r="N3" t="str">
            <v>06-10004-510R</v>
          </cell>
        </row>
        <row r="4">
          <cell r="B4" t="str">
            <v>HY-200-004-002</v>
          </cell>
          <cell r="N4" t="str">
            <v>21-10110-0104</v>
          </cell>
        </row>
        <row r="5">
          <cell r="B5" t="str">
            <v>HY-200-003-055</v>
          </cell>
          <cell r="N5" t="str">
            <v>21-10038-0471</v>
          </cell>
        </row>
        <row r="6">
          <cell r="B6" t="str">
            <v>RC33.2R110</v>
          </cell>
          <cell r="N6" t="str">
            <v>06-10002-33K2</v>
          </cell>
        </row>
        <row r="7">
          <cell r="B7" t="str">
            <v>HY-850-001-117</v>
          </cell>
          <cell r="N7" t="str">
            <v>06-10002-10R0</v>
          </cell>
        </row>
        <row r="8">
          <cell r="B8" t="str">
            <v>FC-1200</v>
          </cell>
          <cell r="N8" t="str">
            <v>21-10038-0472</v>
          </cell>
        </row>
        <row r="9">
          <cell r="B9" t="str">
            <v>IT-347</v>
          </cell>
          <cell r="N9" t="str">
            <v>06-10009-1K30</v>
          </cell>
        </row>
        <row r="10">
          <cell r="B10" t="str">
            <v>HY-850-001-110</v>
          </cell>
          <cell r="N10" t="str">
            <v>06-10002-3K30</v>
          </cell>
        </row>
        <row r="11">
          <cell r="B11" t="str">
            <v>HY-750-001-061</v>
          </cell>
          <cell r="N11" t="str">
            <v>51-10608-A001</v>
          </cell>
        </row>
        <row r="12">
          <cell r="B12" t="str">
            <v>FC-1215</v>
          </cell>
          <cell r="N12" t="str">
            <v>06-10009-5K60</v>
          </cell>
        </row>
        <row r="13">
          <cell r="B13" t="str">
            <v>GY-02-0002-56-6</v>
          </cell>
          <cell r="N13" t="str">
            <v>06-10009-3K92</v>
          </cell>
        </row>
        <row r="14">
          <cell r="B14" t="str">
            <v>HY-750-001-126</v>
          </cell>
          <cell r="N14" t="str">
            <v>51-10620-A001</v>
          </cell>
        </row>
        <row r="15">
          <cell r="B15" t="str">
            <v>FC-1244</v>
          </cell>
          <cell r="N15" t="str">
            <v>06-10009-2K21</v>
          </cell>
        </row>
        <row r="16">
          <cell r="B16" t="str">
            <v>HY-36</v>
          </cell>
          <cell r="N16" t="str">
            <v>06-10009-4K70</v>
          </cell>
        </row>
        <row r="17">
          <cell r="B17" t="str">
            <v>FC-2039</v>
          </cell>
          <cell r="N17" t="str">
            <v>06-10007-2K20</v>
          </cell>
        </row>
        <row r="18">
          <cell r="B18" t="str">
            <v>HY-300-001-021</v>
          </cell>
          <cell r="N18">
            <v>0</v>
          </cell>
        </row>
        <row r="19">
          <cell r="B19" t="str">
            <v>FC-1212</v>
          </cell>
          <cell r="N19" t="str">
            <v>06-10009-5K10</v>
          </cell>
        </row>
        <row r="20">
          <cell r="B20" t="str">
            <v>DSZ5226Z</v>
          </cell>
          <cell r="N20">
            <v>0</v>
          </cell>
        </row>
        <row r="21">
          <cell r="B21" t="str">
            <v>FC-1201</v>
          </cell>
          <cell r="N21" t="str">
            <v>21-10020-0101</v>
          </cell>
        </row>
        <row r="22">
          <cell r="B22" t="str">
            <v>FC-1213</v>
          </cell>
          <cell r="N22" t="str">
            <v>06-10009-15K4</v>
          </cell>
        </row>
        <row r="23">
          <cell r="B23" t="str">
            <v>FC-1202</v>
          </cell>
          <cell r="N23" t="str">
            <v>0221</v>
          </cell>
        </row>
        <row r="24">
          <cell r="B24" t="str">
            <v>WE-CR100632</v>
          </cell>
          <cell r="N24">
            <v>0</v>
          </cell>
        </row>
        <row r="25">
          <cell r="B25" t="str">
            <v>DYNE-26</v>
          </cell>
          <cell r="N25" t="str">
            <v>21-10020-0104</v>
          </cell>
        </row>
        <row r="26">
          <cell r="B26" t="str">
            <v>FC-1214</v>
          </cell>
          <cell r="N26" t="str">
            <v>15R0</v>
          </cell>
        </row>
        <row r="27">
          <cell r="B27" t="str">
            <v>HY-650-089-012</v>
          </cell>
          <cell r="N27">
            <v>0</v>
          </cell>
        </row>
        <row r="28">
          <cell r="B28" t="str">
            <v>HY-500-003-017</v>
          </cell>
          <cell r="N28">
            <v>0</v>
          </cell>
        </row>
        <row r="29">
          <cell r="B29" t="str">
            <v>HY-950-001-009</v>
          </cell>
          <cell r="N29">
            <v>0</v>
          </cell>
        </row>
        <row r="30">
          <cell r="B30" t="str">
            <v>HY-400-002-012</v>
          </cell>
          <cell r="N30">
            <v>0</v>
          </cell>
        </row>
        <row r="31">
          <cell r="B31" t="str">
            <v>MSS-1056</v>
          </cell>
          <cell r="N31" t="str">
            <v>-0223</v>
          </cell>
        </row>
        <row r="32">
          <cell r="B32" t="str">
            <v>FC-1204</v>
          </cell>
          <cell r="N32" t="str">
            <v>21-10059-0106</v>
          </cell>
        </row>
        <row r="33">
          <cell r="B33" t="str">
            <v>HY-900-001-039</v>
          </cell>
          <cell r="N33">
            <v>0</v>
          </cell>
        </row>
        <row r="34">
          <cell r="B34" t="str">
            <v>HY-500-007-067A</v>
          </cell>
          <cell r="N34">
            <v>0</v>
          </cell>
        </row>
        <row r="35">
          <cell r="B35" t="str">
            <v>HY-500-007-067B</v>
          </cell>
          <cell r="N35">
            <v>0</v>
          </cell>
        </row>
        <row r="36">
          <cell r="B36" t="str">
            <v>HY-500-007-068</v>
          </cell>
          <cell r="N36">
            <v>0</v>
          </cell>
        </row>
        <row r="37">
          <cell r="B37" t="str">
            <v>HY-500-007-069</v>
          </cell>
          <cell r="N37">
            <v>0</v>
          </cell>
        </row>
        <row r="38">
          <cell r="B38" t="str">
            <v>HY-750-001-058</v>
          </cell>
          <cell r="N38" t="str">
            <v>51-10609-A001</v>
          </cell>
        </row>
        <row r="39">
          <cell r="B39" t="str">
            <v>HY-900-001-038</v>
          </cell>
          <cell r="N39">
            <v>0</v>
          </cell>
        </row>
        <row r="40">
          <cell r="B40" t="str">
            <v>FC-1216</v>
          </cell>
          <cell r="N40">
            <v>0</v>
          </cell>
        </row>
        <row r="41">
          <cell r="B41" t="str">
            <v>HY-750-001-013</v>
          </cell>
          <cell r="N41" t="str">
            <v>51-10099-A002</v>
          </cell>
        </row>
        <row r="42">
          <cell r="B42" t="str">
            <v>HY-750-001-138</v>
          </cell>
          <cell r="N42" t="str">
            <v>51-10610-A001</v>
          </cell>
        </row>
        <row r="43">
          <cell r="B43" t="str">
            <v>FC-1217</v>
          </cell>
          <cell r="N43">
            <v>0</v>
          </cell>
        </row>
        <row r="44">
          <cell r="B44" t="str">
            <v>WE-CC000014</v>
          </cell>
          <cell r="N44" t="str">
            <v>23-10163-0225</v>
          </cell>
        </row>
        <row r="45">
          <cell r="B45" t="str">
            <v>VT-1005</v>
          </cell>
          <cell r="N45">
            <v>0</v>
          </cell>
        </row>
        <row r="46">
          <cell r="B46" t="str">
            <v>HY-500-007-080</v>
          </cell>
          <cell r="N46">
            <v>0</v>
          </cell>
        </row>
        <row r="47">
          <cell r="B47" t="str">
            <v>FC-2046</v>
          </cell>
          <cell r="N47">
            <v>0</v>
          </cell>
        </row>
        <row r="48">
          <cell r="B48" t="str">
            <v>FC-2038</v>
          </cell>
          <cell r="N48" t="str">
            <v>23-10169-0106</v>
          </cell>
        </row>
        <row r="49">
          <cell r="B49" t="str">
            <v>VT-1006</v>
          </cell>
          <cell r="N49">
            <v>0</v>
          </cell>
        </row>
        <row r="50">
          <cell r="B50" t="str">
            <v>FC-1203</v>
          </cell>
          <cell r="N50" t="str">
            <v>21-10020-0224</v>
          </cell>
        </row>
        <row r="51">
          <cell r="B51" t="str">
            <v>GY-08-0000-44-0</v>
          </cell>
          <cell r="N51">
            <v>0</v>
          </cell>
        </row>
        <row r="52">
          <cell r="B52" t="str">
            <v>FC-2047</v>
          </cell>
          <cell r="N52" t="str">
            <v>-0104</v>
          </cell>
        </row>
        <row r="53">
          <cell r="B53" t="str">
            <v>FC-1206</v>
          </cell>
          <cell r="N53">
            <v>0</v>
          </cell>
        </row>
        <row r="54">
          <cell r="B54" t="str">
            <v>FC-2044</v>
          </cell>
          <cell r="N54">
            <v>0</v>
          </cell>
        </row>
        <row r="55">
          <cell r="B55" t="str">
            <v>FC-2045</v>
          </cell>
          <cell r="N55">
            <v>0</v>
          </cell>
        </row>
        <row r="56">
          <cell r="B56" t="str">
            <v>VT-1007</v>
          </cell>
          <cell r="N56">
            <v>0</v>
          </cell>
        </row>
        <row r="57">
          <cell r="B57" t="str">
            <v>FC-1209</v>
          </cell>
          <cell r="N57" t="str">
            <v>06-10009-133R</v>
          </cell>
        </row>
        <row r="58">
          <cell r="B58" t="str">
            <v>HY-750-001-091</v>
          </cell>
          <cell r="N58" t="str">
            <v>51-10556-A001</v>
          </cell>
        </row>
        <row r="59">
          <cell r="B59" t="str">
            <v>FC-1302</v>
          </cell>
          <cell r="N59" t="str">
            <v>51-INSERT-A001</v>
          </cell>
        </row>
        <row r="60">
          <cell r="B60" t="str">
            <v>FC-1207</v>
          </cell>
          <cell r="N60" t="str">
            <v>65-10029-B001</v>
          </cell>
        </row>
        <row r="61">
          <cell r="B61" t="str">
            <v>FC-1211</v>
          </cell>
          <cell r="N61" t="str">
            <v>06-10009-120R</v>
          </cell>
        </row>
        <row r="62">
          <cell r="B62" t="str">
            <v>FC-1208</v>
          </cell>
          <cell r="N62" t="str">
            <v>06-10134-3R30</v>
          </cell>
        </row>
        <row r="63">
          <cell r="B63" t="str">
            <v>HY-850-001-205</v>
          </cell>
        </row>
        <row r="64">
          <cell r="B64" t="str">
            <v>FC-1231</v>
          </cell>
          <cell r="N64">
            <v>0</v>
          </cell>
        </row>
        <row r="65">
          <cell r="B65" t="str">
            <v>FC-1221</v>
          </cell>
          <cell r="N65">
            <v>0</v>
          </cell>
        </row>
        <row r="66">
          <cell r="B66" t="str">
            <v>FC-1242</v>
          </cell>
          <cell r="N66" t="str">
            <v>51-10611-A001</v>
          </cell>
        </row>
        <row r="67">
          <cell r="B67" t="str">
            <v>FC-1230</v>
          </cell>
          <cell r="N67" t="str">
            <v>51-10603-A001</v>
          </cell>
        </row>
        <row r="68">
          <cell r="B68" t="str">
            <v>FC-1241</v>
          </cell>
          <cell r="N68">
            <v>0</v>
          </cell>
        </row>
        <row r="69">
          <cell r="B69" t="str">
            <v>WE-CC000033</v>
          </cell>
          <cell r="N69">
            <v>0</v>
          </cell>
        </row>
        <row r="70">
          <cell r="B70" t="str">
            <v>HY-500-007-082</v>
          </cell>
          <cell r="N70">
            <v>0</v>
          </cell>
        </row>
        <row r="71">
          <cell r="B71">
            <v>460015</v>
          </cell>
          <cell r="N71">
            <v>0</v>
          </cell>
        </row>
        <row r="72">
          <cell r="B72">
            <v>610016</v>
          </cell>
        </row>
        <row r="73">
          <cell r="B73" t="str">
            <v>HY-16</v>
          </cell>
          <cell r="N73">
            <v>0</v>
          </cell>
        </row>
        <row r="74">
          <cell r="B74" t="str">
            <v>FC-1308</v>
          </cell>
        </row>
        <row r="75">
          <cell r="B75" t="str">
            <v>WE-CU014014</v>
          </cell>
          <cell r="N75">
            <v>0</v>
          </cell>
        </row>
        <row r="76">
          <cell r="B76">
            <v>610034</v>
          </cell>
        </row>
        <row r="77">
          <cell r="B77" t="str">
            <v>FC-1232</v>
          </cell>
          <cell r="N77" t="str">
            <v>51-10602-A001</v>
          </cell>
        </row>
        <row r="78">
          <cell r="B78" t="str">
            <v>FC-2041</v>
          </cell>
          <cell r="N78" t="str">
            <v>51-10613-A001</v>
          </cell>
        </row>
        <row r="79">
          <cell r="B79" t="str">
            <v>FC-2049</v>
          </cell>
          <cell r="N79">
            <v>0</v>
          </cell>
        </row>
        <row r="80">
          <cell r="B80" t="str">
            <v>FC-1236</v>
          </cell>
          <cell r="N80">
            <v>0</v>
          </cell>
        </row>
        <row r="81">
          <cell r="B81" t="str">
            <v>FC-1240</v>
          </cell>
          <cell r="N81">
            <v>0</v>
          </cell>
        </row>
        <row r="82">
          <cell r="B82" t="str">
            <v>FC-1233</v>
          </cell>
          <cell r="N82">
            <v>0</v>
          </cell>
        </row>
        <row r="83">
          <cell r="B83" t="str">
            <v>FC-2040</v>
          </cell>
          <cell r="N83" t="str">
            <v>51-10614-A001</v>
          </cell>
        </row>
        <row r="84">
          <cell r="B84" t="str">
            <v>FC-2043</v>
          </cell>
          <cell r="N84">
            <v>0</v>
          </cell>
        </row>
        <row r="85">
          <cell r="B85" t="str">
            <v>FC-2051</v>
          </cell>
          <cell r="N85">
            <v>0</v>
          </cell>
        </row>
        <row r="86">
          <cell r="B86" t="str">
            <v>FC-1115</v>
          </cell>
          <cell r="N86">
            <v>0</v>
          </cell>
        </row>
        <row r="87">
          <cell r="B87" t="str">
            <v>FC-PCB574836D</v>
          </cell>
          <cell r="N87" t="str">
            <v>01-10005-A001</v>
          </cell>
        </row>
        <row r="88">
          <cell r="B88" t="str">
            <v>FC-1222</v>
          </cell>
        </row>
        <row r="89">
          <cell r="B89" t="str">
            <v>IT-576</v>
          </cell>
          <cell r="N89">
            <v>0</v>
          </cell>
        </row>
        <row r="90">
          <cell r="B90" t="str">
            <v>VT-1002</v>
          </cell>
          <cell r="N90">
            <v>0</v>
          </cell>
        </row>
        <row r="91">
          <cell r="B91" t="str">
            <v>FC-1229</v>
          </cell>
          <cell r="N91" t="str">
            <v>51-10293-B001</v>
          </cell>
        </row>
        <row r="92">
          <cell r="B92" t="str">
            <v>FC-1239</v>
          </cell>
          <cell r="N92">
            <v>0</v>
          </cell>
        </row>
        <row r="93">
          <cell r="B93" t="str">
            <v>FC-1228</v>
          </cell>
          <cell r="N93" t="str">
            <v>51-10069-B001</v>
          </cell>
        </row>
        <row r="94">
          <cell r="B94" t="str">
            <v>FC-1223</v>
          </cell>
          <cell r="N94">
            <v>0</v>
          </cell>
        </row>
        <row r="95">
          <cell r="B95" t="str">
            <v>FC-1303</v>
          </cell>
          <cell r="N95" t="str">
            <v>51-10616-A001</v>
          </cell>
        </row>
        <row r="96">
          <cell r="B96" t="str">
            <v>VT-1046</v>
          </cell>
          <cell r="N96">
            <v>0</v>
          </cell>
        </row>
        <row r="97">
          <cell r="B97" t="str">
            <v>FC-1237</v>
          </cell>
          <cell r="N97">
            <v>0</v>
          </cell>
        </row>
        <row r="98">
          <cell r="B98" t="str">
            <v>HY-650-114-005</v>
          </cell>
          <cell r="N98">
            <v>0</v>
          </cell>
        </row>
        <row r="99">
          <cell r="B99" t="str">
            <v>WE-CC000017</v>
          </cell>
          <cell r="N99">
            <v>0</v>
          </cell>
        </row>
        <row r="100">
          <cell r="B100" t="str">
            <v>FC-1310</v>
          </cell>
          <cell r="N100">
            <v>0</v>
          </cell>
        </row>
        <row r="101">
          <cell r="B101" t="str">
            <v>FC-1238</v>
          </cell>
          <cell r="N101">
            <v>0</v>
          </cell>
        </row>
        <row r="102">
          <cell r="B102" t="str">
            <v>FC-1235</v>
          </cell>
          <cell r="N102">
            <v>0</v>
          </cell>
        </row>
        <row r="103">
          <cell r="B103" t="str">
            <v>FC-1226</v>
          </cell>
          <cell r="N103">
            <v>0</v>
          </cell>
        </row>
        <row r="104">
          <cell r="B104" t="str">
            <v>FC-1225</v>
          </cell>
          <cell r="N104">
            <v>0</v>
          </cell>
        </row>
        <row r="105">
          <cell r="B105" t="str">
            <v>VT-1056</v>
          </cell>
          <cell r="N105">
            <v>0</v>
          </cell>
        </row>
        <row r="106">
          <cell r="B106" t="str">
            <v>VT-1036</v>
          </cell>
        </row>
        <row r="107">
          <cell r="B107" t="str">
            <v>VT-1045</v>
          </cell>
          <cell r="N107">
            <v>0</v>
          </cell>
        </row>
        <row r="108">
          <cell r="B108" t="str">
            <v>VT-1060</v>
          </cell>
          <cell r="N108">
            <v>0</v>
          </cell>
        </row>
        <row r="109">
          <cell r="B109" t="str">
            <v>VT-1038</v>
          </cell>
          <cell r="N109">
            <v>0</v>
          </cell>
        </row>
        <row r="110">
          <cell r="B110" t="str">
            <v>VT-1037</v>
          </cell>
          <cell r="N110">
            <v>0</v>
          </cell>
        </row>
        <row r="111">
          <cell r="B111" t="str">
            <v>EX-1012</v>
          </cell>
          <cell r="N111">
            <v>0</v>
          </cell>
        </row>
        <row r="112">
          <cell r="B112" t="str">
            <v>FC-1306</v>
          </cell>
          <cell r="N112">
            <v>0</v>
          </cell>
        </row>
        <row r="113">
          <cell r="B113" t="str">
            <v>FC-1234</v>
          </cell>
          <cell r="N113">
            <v>0</v>
          </cell>
        </row>
        <row r="114">
          <cell r="B114" t="str">
            <v>VT-1058</v>
          </cell>
          <cell r="N114">
            <v>0</v>
          </cell>
        </row>
        <row r="115">
          <cell r="B115" t="str">
            <v>IT-651</v>
          </cell>
          <cell r="N115" t="str">
            <v>21-10059-0105</v>
          </cell>
        </row>
        <row r="116">
          <cell r="B116" t="str">
            <v>MSS-1009</v>
          </cell>
          <cell r="N116">
            <v>0</v>
          </cell>
        </row>
        <row r="117">
          <cell r="B117" t="str">
            <v>VT-1013</v>
          </cell>
          <cell r="N117" t="str">
            <v>-0561</v>
          </cell>
        </row>
        <row r="118">
          <cell r="B118" t="str">
            <v>FC-1224</v>
          </cell>
          <cell r="N118">
            <v>0</v>
          </cell>
        </row>
        <row r="119">
          <cell r="B119" t="str">
            <v>VT-1053</v>
          </cell>
          <cell r="N119">
            <v>0</v>
          </cell>
        </row>
        <row r="120">
          <cell r="B120" t="str">
            <v>WE-CU017003</v>
          </cell>
          <cell r="N120">
            <v>0</v>
          </cell>
        </row>
        <row r="121">
          <cell r="B121" t="str">
            <v>VT-1051</v>
          </cell>
          <cell r="N121">
            <v>0</v>
          </cell>
        </row>
        <row r="122">
          <cell r="B122" t="str">
            <v>FC-1305</v>
          </cell>
          <cell r="N122">
            <v>0</v>
          </cell>
        </row>
        <row r="123">
          <cell r="B123" t="str">
            <v>FC-1312</v>
          </cell>
          <cell r="N123">
            <v>0</v>
          </cell>
        </row>
        <row r="124">
          <cell r="B124" t="str">
            <v>FC-1315</v>
          </cell>
          <cell r="N124">
            <v>0</v>
          </cell>
        </row>
        <row r="125">
          <cell r="B125" t="str">
            <v>VT-1008</v>
          </cell>
          <cell r="N125">
            <v>0</v>
          </cell>
        </row>
        <row r="126">
          <cell r="B126" t="str">
            <v>FC-1313</v>
          </cell>
          <cell r="N126">
            <v>0</v>
          </cell>
        </row>
        <row r="127">
          <cell r="B127" t="str">
            <v>VT-1003</v>
          </cell>
          <cell r="N127">
            <v>0</v>
          </cell>
        </row>
        <row r="128">
          <cell r="B128" t="str">
            <v>FC-1314</v>
          </cell>
          <cell r="N128">
            <v>0</v>
          </cell>
        </row>
        <row r="129">
          <cell r="B129" t="str">
            <v>FC-1227</v>
          </cell>
          <cell r="N129">
            <v>0</v>
          </cell>
        </row>
        <row r="130">
          <cell r="B130" t="str">
            <v>FC-1301</v>
          </cell>
          <cell r="N130" t="str">
            <v>51-10618-A001</v>
          </cell>
        </row>
        <row r="131">
          <cell r="B131" t="str">
            <v>VT-1049</v>
          </cell>
          <cell r="N131">
            <v>0</v>
          </cell>
        </row>
        <row r="132">
          <cell r="B132" t="str">
            <v>VT-1050</v>
          </cell>
          <cell r="N132">
            <v>0</v>
          </cell>
        </row>
        <row r="133">
          <cell r="B133" t="str">
            <v>VT-1062</v>
          </cell>
          <cell r="N133">
            <v>0</v>
          </cell>
        </row>
        <row r="134">
          <cell r="B134" t="str">
            <v>FC-1318</v>
          </cell>
          <cell r="N134">
            <v>0</v>
          </cell>
        </row>
        <row r="135">
          <cell r="B135" t="str">
            <v>VT-1004</v>
          </cell>
          <cell r="N135">
            <v>0</v>
          </cell>
        </row>
        <row r="136">
          <cell r="B136" t="str">
            <v>CC-170437</v>
          </cell>
          <cell r="N136">
            <v>0</v>
          </cell>
        </row>
        <row r="137">
          <cell r="B137" t="str">
            <v>VT-1001</v>
          </cell>
          <cell r="N137">
            <v>0</v>
          </cell>
        </row>
        <row r="138">
          <cell r="B138" t="str">
            <v>FC-1304</v>
          </cell>
          <cell r="N138">
            <v>0</v>
          </cell>
        </row>
        <row r="139">
          <cell r="B139" t="str">
            <v>FC-1307</v>
          </cell>
        </row>
        <row r="140">
          <cell r="B140" t="str">
            <v>FC-1311</v>
          </cell>
          <cell r="N140">
            <v>0</v>
          </cell>
        </row>
        <row r="141">
          <cell r="B141" t="str">
            <v>FC-1316</v>
          </cell>
          <cell r="N141">
            <v>0</v>
          </cell>
        </row>
        <row r="142">
          <cell r="B142" t="str">
            <v>FC-1317</v>
          </cell>
          <cell r="N142">
            <v>0</v>
          </cell>
        </row>
        <row r="143">
          <cell r="B143" t="str">
            <v>FC-PCB574837</v>
          </cell>
          <cell r="N143">
            <v>0</v>
          </cell>
        </row>
        <row r="144">
          <cell r="B144" t="str">
            <v>VT-1047</v>
          </cell>
          <cell r="N144">
            <v>0</v>
          </cell>
        </row>
        <row r="145">
          <cell r="B145" t="str">
            <v>VT-1052</v>
          </cell>
          <cell r="N145">
            <v>0</v>
          </cell>
        </row>
        <row r="146">
          <cell r="B146" t="str">
            <v>VT-1054</v>
          </cell>
          <cell r="N146">
            <v>0</v>
          </cell>
        </row>
        <row r="147">
          <cell r="B147" t="str">
            <v>VT-1061</v>
          </cell>
          <cell r="N147">
            <v>0</v>
          </cell>
        </row>
        <row r="148">
          <cell r="B148" t="str">
            <v>WE-CU007013</v>
          </cell>
          <cell r="N148">
            <v>0</v>
          </cell>
        </row>
        <row r="149">
          <cell r="B149" t="str">
            <v>WE-CU012045</v>
          </cell>
          <cell r="N149">
            <v>0</v>
          </cell>
        </row>
        <row r="150">
          <cell r="B150" t="str">
            <v>WE-CU009011</v>
          </cell>
          <cell r="N150">
            <v>0</v>
          </cell>
        </row>
        <row r="151">
          <cell r="B151" t="str">
            <v>WE-CU011039</v>
          </cell>
          <cell r="N151">
            <v>0</v>
          </cell>
        </row>
        <row r="152">
          <cell r="B152" t="str">
            <v>WE-CU011035</v>
          </cell>
          <cell r="N152">
            <v>0</v>
          </cell>
        </row>
        <row r="153">
          <cell r="B153" t="str">
            <v>WE-CS000062</v>
          </cell>
          <cell r="N153">
            <v>0</v>
          </cell>
        </row>
        <row r="154">
          <cell r="B154" t="str">
            <v>WE-CJ000145</v>
          </cell>
          <cell r="N154">
            <v>0</v>
          </cell>
        </row>
        <row r="155">
          <cell r="B155" t="str">
            <v>WE-CT000011</v>
          </cell>
          <cell r="N155">
            <v>0</v>
          </cell>
        </row>
        <row r="156">
          <cell r="B156" t="str">
            <v>WE-CU012055</v>
          </cell>
          <cell r="N156">
            <v>0</v>
          </cell>
        </row>
        <row r="157">
          <cell r="B157" t="str">
            <v>WE-CJ000301</v>
          </cell>
          <cell r="N157">
            <v>0</v>
          </cell>
        </row>
        <row r="158">
          <cell r="B158" t="str">
            <v>WE-CJ000052</v>
          </cell>
          <cell r="N158">
            <v>0</v>
          </cell>
        </row>
        <row r="159">
          <cell r="B159" t="str">
            <v>WE-CR100634</v>
          </cell>
          <cell r="N159">
            <v>0</v>
          </cell>
        </row>
        <row r="160">
          <cell r="B160" t="str">
            <v>WE-CU016003</v>
          </cell>
          <cell r="N160">
            <v>0</v>
          </cell>
        </row>
        <row r="161">
          <cell r="B161" t="str">
            <v>WE-CJ000303</v>
          </cell>
          <cell r="N161">
            <v>0</v>
          </cell>
        </row>
        <row r="162">
          <cell r="B162" t="str">
            <v>WE-CU012046</v>
          </cell>
          <cell r="N162">
            <v>0</v>
          </cell>
        </row>
        <row r="163">
          <cell r="B163" t="str">
            <v>WE-CU012059</v>
          </cell>
          <cell r="N163">
            <v>0</v>
          </cell>
        </row>
        <row r="164">
          <cell r="B164" t="str">
            <v>WE-CU023014</v>
          </cell>
          <cell r="N164" t="str">
            <v>51-10617-A001</v>
          </cell>
        </row>
        <row r="165">
          <cell r="B165">
            <v>512000</v>
          </cell>
          <cell r="N165">
            <v>0</v>
          </cell>
        </row>
        <row r="166">
          <cell r="B166">
            <v>605028</v>
          </cell>
        </row>
        <row r="167">
          <cell r="B167">
            <v>610010</v>
          </cell>
        </row>
        <row r="168">
          <cell r="B168">
            <v>610015</v>
          </cell>
        </row>
        <row r="169">
          <cell r="B169">
            <v>610018</v>
          </cell>
        </row>
        <row r="170">
          <cell r="B170">
            <v>616008</v>
          </cell>
        </row>
        <row r="171">
          <cell r="B171">
            <v>619002</v>
          </cell>
        </row>
        <row r="172">
          <cell r="B172">
            <v>619003</v>
          </cell>
        </row>
        <row r="173">
          <cell r="B173">
            <v>619005</v>
          </cell>
        </row>
        <row r="174">
          <cell r="B174">
            <v>619006</v>
          </cell>
        </row>
        <row r="175">
          <cell r="B175" t="str">
            <v>WE-CJ000305</v>
          </cell>
          <cell r="N175">
            <v>0</v>
          </cell>
        </row>
        <row r="176">
          <cell r="B176" t="str">
            <v>WE-CJ000937</v>
          </cell>
          <cell r="N176">
            <v>0</v>
          </cell>
        </row>
        <row r="177">
          <cell r="B177" t="str">
            <v>WE-CU015017</v>
          </cell>
          <cell r="N177">
            <v>0</v>
          </cell>
        </row>
        <row r="178">
          <cell r="B178" t="str">
            <v>FC-578350</v>
          </cell>
          <cell r="N178" t="str">
            <v>01-10005-A001</v>
          </cell>
        </row>
        <row r="179">
          <cell r="B179" t="str">
            <v>WE-CU016012</v>
          </cell>
          <cell r="N179">
            <v>0</v>
          </cell>
        </row>
        <row r="180">
          <cell r="B180">
            <v>420002</v>
          </cell>
          <cell r="N180">
            <v>0</v>
          </cell>
        </row>
        <row r="181">
          <cell r="B181">
            <v>420029</v>
          </cell>
          <cell r="N181">
            <v>0</v>
          </cell>
        </row>
        <row r="182">
          <cell r="B182">
            <v>507000</v>
          </cell>
          <cell r="N182">
            <v>0</v>
          </cell>
        </row>
        <row r="183">
          <cell r="B183">
            <v>610005</v>
          </cell>
        </row>
        <row r="184">
          <cell r="B184">
            <v>616013</v>
          </cell>
        </row>
        <row r="185">
          <cell r="B185" t="str">
            <v>WE-CU015016</v>
          </cell>
          <cell r="N185">
            <v>0</v>
          </cell>
        </row>
        <row r="186">
          <cell r="B186" t="str">
            <v>WE-CR100633</v>
          </cell>
          <cell r="N186">
            <v>0</v>
          </cell>
        </row>
        <row r="187">
          <cell r="B187" t="str">
            <v>WE-CU015015</v>
          </cell>
          <cell r="N187" t="str">
            <v>51-10615-A001</v>
          </cell>
        </row>
        <row r="188">
          <cell r="B188">
            <v>619001</v>
          </cell>
        </row>
        <row r="189">
          <cell r="B189" t="str">
            <v>CC-170632PCA</v>
          </cell>
          <cell r="N189">
            <v>0</v>
          </cell>
        </row>
        <row r="190">
          <cell r="B190" t="str">
            <v>CC-170650</v>
          </cell>
          <cell r="N190" t="str">
            <v>01-10005-A001</v>
          </cell>
        </row>
        <row r="191">
          <cell r="B191" t="str">
            <v>CC-170654</v>
          </cell>
          <cell r="N191">
            <v>0</v>
          </cell>
        </row>
        <row r="192">
          <cell r="B192" t="str">
            <v>CC-PJ102AH</v>
          </cell>
          <cell r="N192">
            <v>0</v>
          </cell>
        </row>
        <row r="193">
          <cell r="B193">
            <v>434033</v>
          </cell>
          <cell r="N193">
            <v>0</v>
          </cell>
        </row>
        <row r="194">
          <cell r="B194" t="str">
            <v>CO33UF16E</v>
          </cell>
          <cell r="N194">
            <v>0</v>
          </cell>
        </row>
        <row r="195">
          <cell r="B195" t="str">
            <v>ICS256A</v>
          </cell>
          <cell r="N195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quis McBride" id="{68F28AF6-7B2C-4FB5-BBF9-A641F57454BA}" userId="S::mmcbride@elanindustries.com::4e185225-5626-4042-b97f-6e3782873f6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3" dT="2025-12-01T18:07:23.02" personId="{68F28AF6-7B2C-4FB5-BBF9-A641F57454BA}" id="{09AB2F9B-DE26-4499-874C-02FD74E8AC62}">
    <text>Replaced GRM2165C2A221JA01D</text>
  </threadedComment>
  <threadedComment ref="H75" dT="2025-11-26T21:09:12.67" personId="{68F28AF6-7B2C-4FB5-BBF9-A641F57454BA}" id="{000C8371-E77D-4774-9C42-C4E2DE84E53E}">
    <text>Obsolete</text>
  </threadedComment>
  <threadedComment ref="H75" dT="2025-12-01T18:07:48.52" personId="{68F28AF6-7B2C-4FB5-BBF9-A641F57454BA}" id="{E8A5533E-5D37-4B83-8123-3008BF7FC3C2}" parentId="{000C8371-E77D-4774-9C42-C4E2DE84E53E}">
    <text>Need to order from Arrow</text>
  </threadedComment>
  <threadedComment ref="N118" dT="2025-11-24T15:35:38.30" personId="{68F28AF6-7B2C-4FB5-BBF9-A641F57454BA}" id="{CEC978DB-2D81-49EE-A19C-834DCFBE01C5}">
    <text>Check for duplicate</text>
  </threadedComment>
  <threadedComment ref="H119" dT="2025-11-26T22:08:32.89" personId="{68F28AF6-7B2C-4FB5-BBF9-A641F57454BA}" id="{F434EBE6-6D99-48DB-8C15-6522A6E85352}">
    <text>Where to buy?</text>
  </threadedComment>
  <threadedComment ref="H127" dT="2025-11-26T00:36:44.56" personId="{68F28AF6-7B2C-4FB5-BBF9-A641F57454BA}" id="{BBE5CEF1-A1CF-4B6C-A2B7-C6C9F81D71BC}">
    <text>Check to see if it can under 31-</text>
  </threadedComment>
  <threadedComment ref="H148" dT="2025-11-23T19:21:02.91" personId="{68F28AF6-7B2C-4FB5-BBF9-A641F57454BA}" id="{CAC3742E-4D8A-4345-9C0B-40A550CE73FB}">
    <text>Obsolete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43C8-EED6-4D96-9CB0-CD50A471294F}">
  <dimension ref="A1:S198"/>
  <sheetViews>
    <sheetView tabSelected="1" topLeftCell="A52" zoomScale="103" zoomScaleNormal="100" workbookViewId="0">
      <selection activeCell="H73" sqref="H73"/>
    </sheetView>
  </sheetViews>
  <sheetFormatPr defaultRowHeight="14.4" x14ac:dyDescent="0.3"/>
  <cols>
    <col min="1" max="1" width="4" bestFit="1" customWidth="1"/>
    <col min="2" max="2" width="15.6640625" bestFit="1" customWidth="1"/>
    <col min="3" max="3" width="6" bestFit="1" customWidth="1"/>
    <col min="7" max="7" width="43.5546875" customWidth="1"/>
    <col min="8" max="8" width="21.88671875" style="5" bestFit="1" customWidth="1"/>
    <col min="13" max="13" width="13.44140625" customWidth="1"/>
    <col min="14" max="14" width="20.109375" customWidth="1"/>
  </cols>
  <sheetData>
    <row r="1" spans="1:1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s="5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0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3</v>
      </c>
      <c r="B2" t="s">
        <v>19</v>
      </c>
      <c r="C2">
        <v>90605</v>
      </c>
      <c r="D2">
        <v>0</v>
      </c>
      <c r="E2" t="s">
        <v>20</v>
      </c>
      <c r="F2" t="s">
        <v>21</v>
      </c>
      <c r="G2" t="s">
        <v>478</v>
      </c>
      <c r="H2" t="s">
        <v>22</v>
      </c>
      <c r="I2">
        <v>0</v>
      </c>
      <c r="J2">
        <v>8000</v>
      </c>
      <c r="K2">
        <v>0</v>
      </c>
      <c r="L2">
        <v>90605</v>
      </c>
      <c r="M2">
        <v>0</v>
      </c>
      <c r="N2" t="s">
        <v>477</v>
      </c>
      <c r="O2">
        <v>1009</v>
      </c>
      <c r="P2">
        <v>6991</v>
      </c>
      <c r="Q2">
        <v>-1009</v>
      </c>
      <c r="R2">
        <v>94</v>
      </c>
    </row>
    <row r="3" spans="1:19" x14ac:dyDescent="0.3">
      <c r="A3">
        <v>11</v>
      </c>
      <c r="B3" t="s">
        <v>23</v>
      </c>
      <c r="C3">
        <v>21404</v>
      </c>
      <c r="D3">
        <v>0</v>
      </c>
      <c r="E3" t="s">
        <v>20</v>
      </c>
      <c r="F3" t="s">
        <v>24</v>
      </c>
      <c r="G3" t="s">
        <v>482</v>
      </c>
      <c r="H3" t="s">
        <v>25</v>
      </c>
      <c r="I3">
        <v>0</v>
      </c>
      <c r="J3">
        <v>21500</v>
      </c>
      <c r="K3">
        <v>0</v>
      </c>
      <c r="L3">
        <v>21404</v>
      </c>
      <c r="M3">
        <v>0</v>
      </c>
      <c r="N3" t="s">
        <v>481</v>
      </c>
      <c r="O3">
        <v>19958</v>
      </c>
      <c r="P3">
        <v>1542</v>
      </c>
      <c r="Q3">
        <v>-19958</v>
      </c>
      <c r="R3" t="s">
        <v>26</v>
      </c>
    </row>
    <row r="4" spans="1:19" x14ac:dyDescent="0.3">
      <c r="A4">
        <v>17</v>
      </c>
      <c r="B4" t="s">
        <v>27</v>
      </c>
      <c r="C4">
        <v>15928</v>
      </c>
      <c r="D4">
        <v>0</v>
      </c>
      <c r="E4" t="s">
        <v>20</v>
      </c>
      <c r="F4" t="s">
        <v>24</v>
      </c>
      <c r="G4" t="s">
        <v>480</v>
      </c>
      <c r="H4" t="s">
        <v>28</v>
      </c>
      <c r="I4">
        <v>0</v>
      </c>
      <c r="J4">
        <v>15928</v>
      </c>
      <c r="K4">
        <v>0</v>
      </c>
      <c r="L4">
        <v>15928</v>
      </c>
      <c r="M4">
        <v>0</v>
      </c>
      <c r="N4" t="s">
        <v>479</v>
      </c>
      <c r="O4">
        <v>10000</v>
      </c>
      <c r="P4">
        <v>5928</v>
      </c>
      <c r="Q4">
        <v>-10000</v>
      </c>
      <c r="R4">
        <v>91</v>
      </c>
    </row>
    <row r="5" spans="1:19" x14ac:dyDescent="0.3">
      <c r="A5">
        <v>25</v>
      </c>
      <c r="B5" t="s">
        <v>29</v>
      </c>
      <c r="C5">
        <v>11039</v>
      </c>
      <c r="D5">
        <v>4020</v>
      </c>
      <c r="E5" t="s">
        <v>20</v>
      </c>
      <c r="F5" t="s">
        <v>30</v>
      </c>
      <c r="G5" t="s">
        <v>488</v>
      </c>
      <c r="H5" t="s">
        <v>31</v>
      </c>
      <c r="I5">
        <v>0</v>
      </c>
      <c r="J5">
        <v>11039</v>
      </c>
      <c r="K5">
        <v>0</v>
      </c>
      <c r="L5">
        <v>11039</v>
      </c>
      <c r="M5">
        <v>0</v>
      </c>
      <c r="N5" t="s">
        <v>487</v>
      </c>
      <c r="O5">
        <v>16874</v>
      </c>
      <c r="P5">
        <v>-5835</v>
      </c>
      <c r="Q5">
        <v>-16874</v>
      </c>
      <c r="R5">
        <v>95</v>
      </c>
    </row>
    <row r="6" spans="1:19" x14ac:dyDescent="0.3">
      <c r="A6">
        <v>29</v>
      </c>
      <c r="B6" t="s">
        <v>32</v>
      </c>
      <c r="C6">
        <v>9735</v>
      </c>
      <c r="D6">
        <v>0</v>
      </c>
      <c r="E6" t="s">
        <v>20</v>
      </c>
      <c r="F6" t="s">
        <v>24</v>
      </c>
      <c r="G6" t="s">
        <v>33</v>
      </c>
      <c r="H6" t="s">
        <v>34</v>
      </c>
      <c r="I6">
        <v>0</v>
      </c>
      <c r="J6">
        <v>9735</v>
      </c>
      <c r="K6">
        <v>0</v>
      </c>
      <c r="L6">
        <v>9735</v>
      </c>
      <c r="M6">
        <v>0</v>
      </c>
      <c r="N6" s="1" t="s">
        <v>486</v>
      </c>
      <c r="O6">
        <v>9853</v>
      </c>
      <c r="P6">
        <v>-118</v>
      </c>
      <c r="Q6">
        <v>-9853</v>
      </c>
      <c r="R6">
        <v>95</v>
      </c>
    </row>
    <row r="7" spans="1:19" x14ac:dyDescent="0.3">
      <c r="A7">
        <v>30</v>
      </c>
      <c r="B7" t="s">
        <v>35</v>
      </c>
      <c r="C7">
        <v>9729</v>
      </c>
      <c r="D7">
        <v>0</v>
      </c>
      <c r="E7" t="s">
        <v>20</v>
      </c>
      <c r="F7" t="s">
        <v>36</v>
      </c>
      <c r="G7" t="s">
        <v>37</v>
      </c>
      <c r="H7" t="s">
        <v>38</v>
      </c>
      <c r="I7">
        <v>0</v>
      </c>
      <c r="J7">
        <v>9729</v>
      </c>
      <c r="K7">
        <v>0</v>
      </c>
      <c r="L7">
        <v>9729</v>
      </c>
      <c r="M7">
        <v>0</v>
      </c>
      <c r="N7" t="s">
        <v>483</v>
      </c>
      <c r="O7">
        <v>5000</v>
      </c>
      <c r="P7">
        <v>4729</v>
      </c>
      <c r="Q7">
        <v>-5000</v>
      </c>
      <c r="R7">
        <v>91</v>
      </c>
    </row>
    <row r="8" spans="1:19" x14ac:dyDescent="0.3">
      <c r="A8">
        <v>45</v>
      </c>
      <c r="B8" t="s">
        <v>39</v>
      </c>
      <c r="C8">
        <v>7426</v>
      </c>
      <c r="D8">
        <v>0</v>
      </c>
      <c r="E8" t="s">
        <v>20</v>
      </c>
      <c r="F8" t="s">
        <v>24</v>
      </c>
      <c r="G8" t="s">
        <v>40</v>
      </c>
      <c r="H8" t="s">
        <v>41</v>
      </c>
      <c r="I8">
        <v>0</v>
      </c>
      <c r="J8">
        <v>7426</v>
      </c>
      <c r="K8">
        <v>0</v>
      </c>
      <c r="L8">
        <v>7426</v>
      </c>
      <c r="M8">
        <v>0</v>
      </c>
      <c r="N8" s="1" t="s">
        <v>489</v>
      </c>
      <c r="P8">
        <v>7426</v>
      </c>
      <c r="Q8">
        <v>0</v>
      </c>
    </row>
    <row r="9" spans="1:19" x14ac:dyDescent="0.3">
      <c r="A9">
        <v>46</v>
      </c>
      <c r="B9" t="s">
        <v>42</v>
      </c>
      <c r="C9">
        <v>7273</v>
      </c>
      <c r="D9">
        <v>0</v>
      </c>
      <c r="E9" t="s">
        <v>20</v>
      </c>
      <c r="F9" t="s">
        <v>24</v>
      </c>
      <c r="G9" t="s">
        <v>491</v>
      </c>
      <c r="H9" t="s">
        <v>43</v>
      </c>
      <c r="I9">
        <v>0</v>
      </c>
      <c r="J9">
        <v>7273</v>
      </c>
      <c r="K9">
        <v>0</v>
      </c>
      <c r="L9">
        <v>7273</v>
      </c>
      <c r="M9">
        <v>0</v>
      </c>
      <c r="N9" t="s">
        <v>490</v>
      </c>
      <c r="O9">
        <v>5000</v>
      </c>
      <c r="P9">
        <v>2273</v>
      </c>
      <c r="Q9">
        <v>-5000</v>
      </c>
      <c r="R9">
        <v>91</v>
      </c>
    </row>
    <row r="10" spans="1:19" x14ac:dyDescent="0.3">
      <c r="A10">
        <v>49</v>
      </c>
      <c r="B10" t="s">
        <v>44</v>
      </c>
      <c r="C10">
        <v>6682</v>
      </c>
      <c r="D10">
        <v>0</v>
      </c>
      <c r="E10" t="s">
        <v>20</v>
      </c>
      <c r="F10" t="s">
        <v>36</v>
      </c>
      <c r="G10" t="s">
        <v>485</v>
      </c>
      <c r="H10" t="s">
        <v>45</v>
      </c>
      <c r="I10">
        <v>0</v>
      </c>
      <c r="J10">
        <v>6600</v>
      </c>
      <c r="K10">
        <v>0</v>
      </c>
      <c r="L10">
        <v>6682</v>
      </c>
      <c r="M10">
        <v>0</v>
      </c>
      <c r="N10" t="s">
        <v>484</v>
      </c>
      <c r="O10">
        <v>7680</v>
      </c>
      <c r="P10">
        <v>-1080</v>
      </c>
      <c r="Q10">
        <v>-7680</v>
      </c>
      <c r="R10" t="s">
        <v>26</v>
      </c>
    </row>
    <row r="11" spans="1:19" x14ac:dyDescent="0.3">
      <c r="A11">
        <v>58</v>
      </c>
      <c r="B11" t="s">
        <v>46</v>
      </c>
      <c r="C11">
        <v>6093</v>
      </c>
      <c r="D11">
        <v>0</v>
      </c>
      <c r="E11" t="s">
        <v>20</v>
      </c>
      <c r="F11" t="s">
        <v>47</v>
      </c>
      <c r="G11" t="s">
        <v>604</v>
      </c>
      <c r="H11" s="5" t="s">
        <v>48</v>
      </c>
      <c r="I11">
        <v>0</v>
      </c>
      <c r="J11">
        <v>6093</v>
      </c>
      <c r="K11">
        <v>0</v>
      </c>
      <c r="L11">
        <v>6093</v>
      </c>
      <c r="M11">
        <v>0</v>
      </c>
      <c r="N11" s="7" t="s">
        <v>610</v>
      </c>
      <c r="O11">
        <v>3000</v>
      </c>
      <c r="P11">
        <v>3093</v>
      </c>
      <c r="Q11">
        <v>-3000</v>
      </c>
      <c r="R11">
        <v>91</v>
      </c>
    </row>
    <row r="12" spans="1:19" x14ac:dyDescent="0.3">
      <c r="A12">
        <v>64</v>
      </c>
      <c r="B12" t="s">
        <v>49</v>
      </c>
      <c r="C12">
        <v>5869</v>
      </c>
      <c r="D12">
        <v>0</v>
      </c>
      <c r="E12" t="s">
        <v>20</v>
      </c>
      <c r="F12" t="s">
        <v>24</v>
      </c>
      <c r="G12" t="s">
        <v>493</v>
      </c>
      <c r="H12" t="s">
        <v>50</v>
      </c>
      <c r="I12">
        <v>0</v>
      </c>
      <c r="J12">
        <v>5869</v>
      </c>
      <c r="K12">
        <v>0</v>
      </c>
      <c r="L12">
        <v>5869</v>
      </c>
      <c r="M12">
        <v>0</v>
      </c>
      <c r="N12" s="1" t="s">
        <v>492</v>
      </c>
      <c r="P12">
        <v>5869</v>
      </c>
      <c r="Q12">
        <v>0</v>
      </c>
    </row>
    <row r="13" spans="1:19" x14ac:dyDescent="0.3">
      <c r="A13">
        <v>68</v>
      </c>
      <c r="B13" t="s">
        <v>51</v>
      </c>
      <c r="C13">
        <v>5723</v>
      </c>
      <c r="D13">
        <v>0</v>
      </c>
      <c r="E13" t="s">
        <v>20</v>
      </c>
      <c r="F13" t="s">
        <v>24</v>
      </c>
      <c r="G13" t="s">
        <v>495</v>
      </c>
      <c r="H13" t="s">
        <v>52</v>
      </c>
      <c r="I13">
        <v>0</v>
      </c>
      <c r="J13">
        <v>5723</v>
      </c>
      <c r="K13">
        <v>0</v>
      </c>
      <c r="L13">
        <v>5723</v>
      </c>
      <c r="M13">
        <v>0</v>
      </c>
      <c r="N13" s="1" t="s">
        <v>494</v>
      </c>
      <c r="O13">
        <v>5000</v>
      </c>
      <c r="P13">
        <v>723</v>
      </c>
      <c r="Q13">
        <v>-5000</v>
      </c>
      <c r="R13">
        <v>91</v>
      </c>
    </row>
    <row r="14" spans="1:19" x14ac:dyDescent="0.3">
      <c r="A14">
        <v>72</v>
      </c>
      <c r="B14" t="s">
        <v>53</v>
      </c>
      <c r="C14">
        <v>5080</v>
      </c>
      <c r="D14">
        <v>0</v>
      </c>
      <c r="E14" t="s">
        <v>20</v>
      </c>
      <c r="F14" t="s">
        <v>24</v>
      </c>
      <c r="G14" t="s">
        <v>605</v>
      </c>
      <c r="H14" s="5" t="s">
        <v>54</v>
      </c>
      <c r="I14">
        <v>0</v>
      </c>
      <c r="J14">
        <v>5080</v>
      </c>
      <c r="K14">
        <v>0</v>
      </c>
      <c r="L14">
        <v>5080</v>
      </c>
      <c r="M14">
        <v>0</v>
      </c>
      <c r="N14" s="7" t="s">
        <v>607</v>
      </c>
      <c r="O14">
        <v>5023</v>
      </c>
      <c r="P14">
        <v>57</v>
      </c>
      <c r="Q14">
        <v>-5023</v>
      </c>
      <c r="R14">
        <v>39</v>
      </c>
    </row>
    <row r="15" spans="1:19" x14ac:dyDescent="0.3">
      <c r="A15">
        <v>73</v>
      </c>
      <c r="B15" t="s">
        <v>55</v>
      </c>
      <c r="C15">
        <v>5059</v>
      </c>
      <c r="D15">
        <v>0</v>
      </c>
      <c r="E15" t="s">
        <v>20</v>
      </c>
      <c r="F15" t="s">
        <v>24</v>
      </c>
      <c r="G15" t="s">
        <v>497</v>
      </c>
      <c r="H15" t="s">
        <v>56</v>
      </c>
      <c r="I15">
        <v>0</v>
      </c>
      <c r="J15">
        <v>5059</v>
      </c>
      <c r="K15">
        <v>0</v>
      </c>
      <c r="L15">
        <v>5059</v>
      </c>
      <c r="M15">
        <v>0</v>
      </c>
      <c r="N15" s="1" t="s">
        <v>496</v>
      </c>
      <c r="P15">
        <v>5059</v>
      </c>
      <c r="Q15">
        <v>0</v>
      </c>
    </row>
    <row r="16" spans="1:19" x14ac:dyDescent="0.3">
      <c r="A16">
        <v>74</v>
      </c>
      <c r="B16" t="s">
        <v>57</v>
      </c>
      <c r="C16">
        <v>5041</v>
      </c>
      <c r="D16">
        <v>0</v>
      </c>
      <c r="E16" t="s">
        <v>20</v>
      </c>
      <c r="F16" t="s">
        <v>24</v>
      </c>
      <c r="G16" t="s">
        <v>499</v>
      </c>
      <c r="H16" t="s">
        <v>58</v>
      </c>
      <c r="I16">
        <v>0</v>
      </c>
      <c r="J16">
        <v>6000</v>
      </c>
      <c r="K16">
        <v>0</v>
      </c>
      <c r="L16">
        <v>5041</v>
      </c>
      <c r="M16">
        <v>0</v>
      </c>
      <c r="N16" t="s">
        <v>498</v>
      </c>
      <c r="O16">
        <v>5020</v>
      </c>
      <c r="P16">
        <v>980</v>
      </c>
      <c r="Q16">
        <v>-5020</v>
      </c>
      <c r="R16">
        <v>95</v>
      </c>
    </row>
    <row r="17" spans="1:19" x14ac:dyDescent="0.3">
      <c r="A17">
        <v>77</v>
      </c>
      <c r="B17" t="s">
        <v>59</v>
      </c>
      <c r="C17">
        <v>4884</v>
      </c>
      <c r="D17">
        <v>0</v>
      </c>
      <c r="E17" t="s">
        <v>20</v>
      </c>
      <c r="F17" t="s">
        <v>24</v>
      </c>
      <c r="G17" t="s">
        <v>500</v>
      </c>
      <c r="H17" t="s">
        <v>60</v>
      </c>
      <c r="I17">
        <v>0</v>
      </c>
      <c r="J17">
        <v>4884</v>
      </c>
      <c r="K17">
        <v>0</v>
      </c>
      <c r="L17">
        <v>4884</v>
      </c>
      <c r="M17">
        <v>0</v>
      </c>
      <c r="N17" s="3" t="s">
        <v>768</v>
      </c>
      <c r="P17">
        <v>4884</v>
      </c>
      <c r="Q17">
        <v>0</v>
      </c>
    </row>
    <row r="18" spans="1:19" x14ac:dyDescent="0.3">
      <c r="A18">
        <v>85</v>
      </c>
      <c r="B18" t="s">
        <v>61</v>
      </c>
      <c r="C18">
        <v>4575</v>
      </c>
      <c r="D18">
        <v>0</v>
      </c>
      <c r="E18" t="s">
        <v>20</v>
      </c>
      <c r="F18" t="s">
        <v>24</v>
      </c>
      <c r="G18" t="s">
        <v>675</v>
      </c>
      <c r="H18" s="5" t="s">
        <v>62</v>
      </c>
      <c r="I18">
        <v>0</v>
      </c>
      <c r="J18">
        <v>4575</v>
      </c>
      <c r="K18">
        <v>0</v>
      </c>
      <c r="L18">
        <v>4575</v>
      </c>
      <c r="M18">
        <v>0</v>
      </c>
      <c r="N18" t="s">
        <v>674</v>
      </c>
      <c r="O18">
        <v>4181</v>
      </c>
      <c r="P18">
        <v>394</v>
      </c>
      <c r="Q18">
        <v>-4181</v>
      </c>
      <c r="R18">
        <v>89</v>
      </c>
    </row>
    <row r="19" spans="1:19" x14ac:dyDescent="0.3">
      <c r="A19">
        <v>91</v>
      </c>
      <c r="B19" t="s">
        <v>63</v>
      </c>
      <c r="C19">
        <v>4159</v>
      </c>
      <c r="D19">
        <v>0</v>
      </c>
      <c r="E19" t="s">
        <v>20</v>
      </c>
      <c r="F19" t="s">
        <v>24</v>
      </c>
      <c r="G19" t="s">
        <v>64</v>
      </c>
      <c r="H19" t="s">
        <v>65</v>
      </c>
      <c r="I19">
        <v>0</v>
      </c>
      <c r="J19">
        <v>4159</v>
      </c>
      <c r="K19">
        <v>0</v>
      </c>
      <c r="L19">
        <v>4159</v>
      </c>
      <c r="M19">
        <v>0</v>
      </c>
      <c r="N19" t="s">
        <v>501</v>
      </c>
      <c r="P19">
        <v>4159</v>
      </c>
      <c r="Q19">
        <v>0</v>
      </c>
    </row>
    <row r="20" spans="1:19" x14ac:dyDescent="0.3">
      <c r="A20">
        <v>93</v>
      </c>
      <c r="B20" t="s">
        <v>66</v>
      </c>
      <c r="C20">
        <v>4028</v>
      </c>
      <c r="D20">
        <v>0</v>
      </c>
      <c r="E20" t="s">
        <v>20</v>
      </c>
      <c r="F20" t="s">
        <v>67</v>
      </c>
      <c r="G20" t="s">
        <v>535</v>
      </c>
      <c r="H20" s="5" t="s">
        <v>68</v>
      </c>
      <c r="I20">
        <v>0</v>
      </c>
      <c r="J20">
        <v>4028</v>
      </c>
      <c r="K20">
        <v>0</v>
      </c>
      <c r="L20">
        <v>4028</v>
      </c>
      <c r="M20">
        <v>0</v>
      </c>
      <c r="N20" s="6" t="s">
        <v>545</v>
      </c>
      <c r="O20">
        <v>3000</v>
      </c>
      <c r="P20">
        <v>1028</v>
      </c>
      <c r="Q20">
        <v>-3000</v>
      </c>
      <c r="R20">
        <v>91</v>
      </c>
    </row>
    <row r="21" spans="1:19" x14ac:dyDescent="0.3">
      <c r="A21">
        <v>101</v>
      </c>
      <c r="B21" t="s">
        <v>69</v>
      </c>
      <c r="C21">
        <v>3762</v>
      </c>
      <c r="D21">
        <v>0</v>
      </c>
      <c r="E21" t="s">
        <v>20</v>
      </c>
      <c r="F21" t="s">
        <v>24</v>
      </c>
      <c r="G21" t="s">
        <v>503</v>
      </c>
      <c r="H21" t="s">
        <v>70</v>
      </c>
      <c r="I21">
        <v>0</v>
      </c>
      <c r="J21">
        <v>3762</v>
      </c>
      <c r="K21">
        <v>0</v>
      </c>
      <c r="L21">
        <v>3762</v>
      </c>
      <c r="M21">
        <v>0</v>
      </c>
      <c r="N21" t="s">
        <v>502</v>
      </c>
      <c r="P21">
        <v>3762</v>
      </c>
      <c r="Q21">
        <v>0</v>
      </c>
    </row>
    <row r="22" spans="1:19" x14ac:dyDescent="0.3">
      <c r="A22">
        <v>102</v>
      </c>
      <c r="B22" t="s">
        <v>71</v>
      </c>
      <c r="C22">
        <v>3739</v>
      </c>
      <c r="D22">
        <v>0</v>
      </c>
      <c r="E22" t="s">
        <v>20</v>
      </c>
      <c r="F22" t="s">
        <v>24</v>
      </c>
      <c r="G22" t="s">
        <v>505</v>
      </c>
      <c r="H22" t="s">
        <v>72</v>
      </c>
      <c r="I22">
        <v>0</v>
      </c>
      <c r="J22">
        <v>3739</v>
      </c>
      <c r="K22">
        <v>0</v>
      </c>
      <c r="L22">
        <v>3739</v>
      </c>
      <c r="M22">
        <v>0</v>
      </c>
      <c r="N22" s="1" t="s">
        <v>504</v>
      </c>
      <c r="P22">
        <v>3739</v>
      </c>
      <c r="Q22">
        <v>0</v>
      </c>
    </row>
    <row r="23" spans="1:19" x14ac:dyDescent="0.3">
      <c r="A23">
        <v>106</v>
      </c>
      <c r="B23" t="s">
        <v>73</v>
      </c>
      <c r="C23">
        <v>3607</v>
      </c>
      <c r="D23">
        <v>0</v>
      </c>
      <c r="E23" t="s">
        <v>20</v>
      </c>
      <c r="F23" t="s">
        <v>24</v>
      </c>
      <c r="G23" t="s">
        <v>74</v>
      </c>
      <c r="H23" t="s">
        <v>770</v>
      </c>
      <c r="I23">
        <v>0</v>
      </c>
      <c r="J23">
        <v>3607</v>
      </c>
      <c r="K23">
        <v>0</v>
      </c>
      <c r="L23">
        <v>3607</v>
      </c>
      <c r="M23">
        <v>0</v>
      </c>
      <c r="N23" s="3" t="s">
        <v>769</v>
      </c>
      <c r="P23">
        <v>3607</v>
      </c>
      <c r="Q23">
        <v>0</v>
      </c>
    </row>
    <row r="24" spans="1:19" x14ac:dyDescent="0.3">
      <c r="A24">
        <v>108</v>
      </c>
      <c r="B24" t="s">
        <v>75</v>
      </c>
      <c r="C24">
        <v>3541</v>
      </c>
      <c r="D24">
        <v>0</v>
      </c>
      <c r="E24" t="s">
        <v>20</v>
      </c>
      <c r="F24" t="s">
        <v>24</v>
      </c>
      <c r="G24" t="s">
        <v>76</v>
      </c>
      <c r="H24" s="5" t="s">
        <v>77</v>
      </c>
      <c r="I24">
        <v>0</v>
      </c>
      <c r="J24">
        <v>3541</v>
      </c>
      <c r="K24">
        <v>25</v>
      </c>
      <c r="L24">
        <v>3541</v>
      </c>
      <c r="M24">
        <v>0</v>
      </c>
      <c r="N24" s="1" t="e">
        <f>_xlfn.XLOOKUP(H24,#REF!,#REF!,,-1)</f>
        <v>#REF!</v>
      </c>
      <c r="O24">
        <v>3617</v>
      </c>
      <c r="P24">
        <v>-76</v>
      </c>
      <c r="Q24">
        <v>-3592</v>
      </c>
      <c r="R24">
        <v>97</v>
      </c>
    </row>
    <row r="25" spans="1:19" x14ac:dyDescent="0.3">
      <c r="A25">
        <v>111</v>
      </c>
      <c r="B25" t="s">
        <v>78</v>
      </c>
      <c r="C25">
        <v>3369</v>
      </c>
      <c r="D25">
        <v>0</v>
      </c>
      <c r="E25" t="s">
        <v>20</v>
      </c>
      <c r="F25" t="s">
        <v>24</v>
      </c>
      <c r="G25" t="s">
        <v>507</v>
      </c>
      <c r="H25" t="s">
        <v>79</v>
      </c>
      <c r="I25">
        <v>0</v>
      </c>
      <c r="J25">
        <v>3369</v>
      </c>
      <c r="K25">
        <v>0</v>
      </c>
      <c r="L25">
        <v>3369</v>
      </c>
      <c r="M25">
        <v>0</v>
      </c>
      <c r="N25" t="s">
        <v>506</v>
      </c>
      <c r="P25">
        <v>3369</v>
      </c>
      <c r="Q25">
        <v>0</v>
      </c>
    </row>
    <row r="26" spans="1:19" x14ac:dyDescent="0.3">
      <c r="A26">
        <v>117</v>
      </c>
      <c r="B26" t="s">
        <v>80</v>
      </c>
      <c r="C26">
        <v>3086</v>
      </c>
      <c r="D26">
        <v>0</v>
      </c>
      <c r="E26" t="s">
        <v>20</v>
      </c>
      <c r="F26" t="s">
        <v>24</v>
      </c>
      <c r="G26" t="s">
        <v>81</v>
      </c>
      <c r="H26" t="s">
        <v>82</v>
      </c>
      <c r="I26">
        <v>0</v>
      </c>
      <c r="J26">
        <v>3086</v>
      </c>
      <c r="K26">
        <v>0</v>
      </c>
      <c r="L26">
        <v>3086</v>
      </c>
      <c r="M26">
        <v>0</v>
      </c>
      <c r="N26" s="3" t="s">
        <v>771</v>
      </c>
      <c r="P26">
        <v>3086</v>
      </c>
      <c r="Q26">
        <v>0</v>
      </c>
    </row>
    <row r="27" spans="1:19" x14ac:dyDescent="0.3">
      <c r="A27">
        <v>122</v>
      </c>
      <c r="B27" t="s">
        <v>83</v>
      </c>
      <c r="C27">
        <v>2888</v>
      </c>
      <c r="D27">
        <v>0</v>
      </c>
      <c r="E27" t="s">
        <v>20</v>
      </c>
      <c r="F27" t="s">
        <v>24</v>
      </c>
      <c r="G27" t="s">
        <v>84</v>
      </c>
      <c r="H27" s="5" t="s">
        <v>85</v>
      </c>
      <c r="I27">
        <v>0</v>
      </c>
      <c r="J27">
        <v>0</v>
      </c>
      <c r="K27">
        <v>0</v>
      </c>
      <c r="L27">
        <v>2888</v>
      </c>
      <c r="M27">
        <v>0</v>
      </c>
      <c r="N27" t="s">
        <v>761</v>
      </c>
      <c r="P27">
        <v>0</v>
      </c>
      <c r="Q27">
        <v>0</v>
      </c>
    </row>
    <row r="28" spans="1:19" x14ac:dyDescent="0.3">
      <c r="A28">
        <v>130</v>
      </c>
      <c r="B28" t="s">
        <v>86</v>
      </c>
      <c r="C28">
        <v>2555</v>
      </c>
      <c r="D28">
        <v>0</v>
      </c>
      <c r="E28" t="s">
        <v>20</v>
      </c>
      <c r="F28" t="s">
        <v>24</v>
      </c>
      <c r="G28" t="s">
        <v>87</v>
      </c>
      <c r="H28" s="5" t="s">
        <v>88</v>
      </c>
      <c r="I28">
        <v>0</v>
      </c>
      <c r="J28">
        <v>2555</v>
      </c>
      <c r="K28">
        <v>0</v>
      </c>
      <c r="L28">
        <v>2555</v>
      </c>
      <c r="M28">
        <v>0</v>
      </c>
      <c r="N28" t="s">
        <v>676</v>
      </c>
      <c r="O28">
        <v>2442</v>
      </c>
      <c r="P28">
        <v>113</v>
      </c>
      <c r="Q28">
        <v>-2442</v>
      </c>
      <c r="R28">
        <v>97</v>
      </c>
    </row>
    <row r="29" spans="1:19" x14ac:dyDescent="0.3">
      <c r="A29">
        <v>132</v>
      </c>
      <c r="B29" t="s">
        <v>89</v>
      </c>
      <c r="C29">
        <v>2467</v>
      </c>
      <c r="D29">
        <v>0</v>
      </c>
      <c r="E29" t="s">
        <v>20</v>
      </c>
      <c r="F29" t="s">
        <v>24</v>
      </c>
      <c r="G29" t="s">
        <v>90</v>
      </c>
      <c r="H29" s="5" t="s">
        <v>91</v>
      </c>
      <c r="I29">
        <v>0</v>
      </c>
      <c r="J29">
        <v>2467</v>
      </c>
      <c r="K29">
        <v>0</v>
      </c>
      <c r="L29">
        <v>2467</v>
      </c>
      <c r="M29">
        <v>0</v>
      </c>
      <c r="N29" t="s">
        <v>729</v>
      </c>
      <c r="O29">
        <v>3000</v>
      </c>
      <c r="P29">
        <v>-533</v>
      </c>
      <c r="Q29">
        <v>-3000</v>
      </c>
      <c r="R29">
        <v>95</v>
      </c>
    </row>
    <row r="30" spans="1:19" x14ac:dyDescent="0.3">
      <c r="A30">
        <v>135</v>
      </c>
      <c r="B30" t="s">
        <v>92</v>
      </c>
      <c r="C30">
        <v>2311</v>
      </c>
      <c r="D30">
        <v>0</v>
      </c>
      <c r="E30" t="s">
        <v>20</v>
      </c>
      <c r="F30" t="s">
        <v>93</v>
      </c>
      <c r="G30" t="s">
        <v>94</v>
      </c>
      <c r="H30" s="5" t="s">
        <v>95</v>
      </c>
      <c r="I30">
        <v>0</v>
      </c>
      <c r="J30">
        <v>2032</v>
      </c>
      <c r="K30">
        <v>0</v>
      </c>
      <c r="L30">
        <v>2311</v>
      </c>
      <c r="M30">
        <v>0</v>
      </c>
      <c r="N30" t="s">
        <v>682</v>
      </c>
      <c r="O30">
        <v>2431</v>
      </c>
      <c r="P30">
        <v>-399</v>
      </c>
      <c r="Q30">
        <v>-2431</v>
      </c>
      <c r="R30" t="s">
        <v>96</v>
      </c>
    </row>
    <row r="31" spans="1:19" x14ac:dyDescent="0.3">
      <c r="A31">
        <v>136</v>
      </c>
      <c r="B31" t="s">
        <v>97</v>
      </c>
      <c r="C31">
        <v>2275</v>
      </c>
      <c r="D31">
        <v>0</v>
      </c>
      <c r="E31" t="s">
        <v>20</v>
      </c>
      <c r="F31" t="s">
        <v>24</v>
      </c>
      <c r="G31" t="s">
        <v>98</v>
      </c>
      <c r="H31" t="s">
        <v>99</v>
      </c>
      <c r="I31">
        <v>0</v>
      </c>
      <c r="J31">
        <v>2275</v>
      </c>
      <c r="K31">
        <v>0</v>
      </c>
      <c r="L31">
        <v>2275</v>
      </c>
      <c r="M31">
        <v>0</v>
      </c>
      <c r="N31" s="2" t="s">
        <v>772</v>
      </c>
      <c r="P31">
        <v>2275</v>
      </c>
      <c r="Q31">
        <v>0</v>
      </c>
    </row>
    <row r="32" spans="1:19" x14ac:dyDescent="0.3">
      <c r="A32">
        <v>159</v>
      </c>
      <c r="B32" t="s">
        <v>100</v>
      </c>
      <c r="C32">
        <v>1626</v>
      </c>
      <c r="D32">
        <v>0</v>
      </c>
      <c r="E32" t="s">
        <v>20</v>
      </c>
      <c r="F32" t="s">
        <v>24</v>
      </c>
      <c r="G32" t="s">
        <v>515</v>
      </c>
      <c r="H32" t="s">
        <v>101</v>
      </c>
      <c r="I32">
        <v>0</v>
      </c>
      <c r="J32">
        <v>1626</v>
      </c>
      <c r="K32">
        <v>0</v>
      </c>
      <c r="L32">
        <v>1626</v>
      </c>
      <c r="M32">
        <v>0</v>
      </c>
      <c r="N32" t="s">
        <v>514</v>
      </c>
      <c r="P32">
        <v>1626</v>
      </c>
      <c r="Q32">
        <v>0</v>
      </c>
      <c r="S32" t="s">
        <v>516</v>
      </c>
    </row>
    <row r="33" spans="1:19" x14ac:dyDescent="0.3">
      <c r="A33">
        <v>160</v>
      </c>
      <c r="B33" t="s">
        <v>102</v>
      </c>
      <c r="C33">
        <v>1600</v>
      </c>
      <c r="D33">
        <v>0</v>
      </c>
      <c r="E33" t="s">
        <v>20</v>
      </c>
      <c r="F33" t="s">
        <v>93</v>
      </c>
      <c r="G33" t="s">
        <v>103</v>
      </c>
      <c r="H33" s="5" t="s">
        <v>104</v>
      </c>
      <c r="I33">
        <v>0</v>
      </c>
      <c r="J33">
        <v>2000</v>
      </c>
      <c r="K33">
        <v>0</v>
      </c>
      <c r="L33">
        <v>1600</v>
      </c>
      <c r="M33">
        <v>0</v>
      </c>
      <c r="N33" t="s">
        <v>686</v>
      </c>
      <c r="O33">
        <v>2000</v>
      </c>
      <c r="P33">
        <v>0</v>
      </c>
      <c r="Q33">
        <v>-2000</v>
      </c>
      <c r="R33">
        <v>66</v>
      </c>
    </row>
    <row r="34" spans="1:19" x14ac:dyDescent="0.3">
      <c r="A34">
        <v>165</v>
      </c>
      <c r="B34" t="s">
        <v>105</v>
      </c>
      <c r="C34">
        <v>1507</v>
      </c>
      <c r="D34">
        <v>0</v>
      </c>
      <c r="E34" t="s">
        <v>20</v>
      </c>
      <c r="F34" t="s">
        <v>93</v>
      </c>
      <c r="G34" t="s">
        <v>724</v>
      </c>
      <c r="H34" s="5" t="s">
        <v>106</v>
      </c>
      <c r="I34">
        <v>0</v>
      </c>
      <c r="J34">
        <v>1639</v>
      </c>
      <c r="K34">
        <v>0</v>
      </c>
      <c r="L34">
        <v>1507</v>
      </c>
      <c r="M34">
        <v>0</v>
      </c>
      <c r="N34" t="s">
        <v>716</v>
      </c>
      <c r="O34">
        <v>1640</v>
      </c>
      <c r="P34">
        <v>-1</v>
      </c>
      <c r="Q34">
        <v>-1640</v>
      </c>
      <c r="R34" t="s">
        <v>107</v>
      </c>
    </row>
    <row r="35" spans="1:19" x14ac:dyDescent="0.3">
      <c r="A35">
        <v>542</v>
      </c>
      <c r="B35" t="s">
        <v>108</v>
      </c>
      <c r="G35" t="s">
        <v>725</v>
      </c>
      <c r="H35" s="5" t="s">
        <v>109</v>
      </c>
      <c r="N35" t="s">
        <v>715</v>
      </c>
      <c r="O35">
        <v>1639</v>
      </c>
      <c r="P35">
        <v>-1639</v>
      </c>
      <c r="Q35">
        <v>-1639</v>
      </c>
      <c r="R35" t="s">
        <v>110</v>
      </c>
    </row>
    <row r="36" spans="1:19" x14ac:dyDescent="0.3">
      <c r="A36">
        <v>166</v>
      </c>
      <c r="B36" t="s">
        <v>111</v>
      </c>
      <c r="C36">
        <v>1500</v>
      </c>
      <c r="D36">
        <v>0</v>
      </c>
      <c r="E36" t="s">
        <v>20</v>
      </c>
      <c r="F36" t="s">
        <v>93</v>
      </c>
      <c r="G36" t="s">
        <v>721</v>
      </c>
      <c r="H36" s="5" t="s">
        <v>112</v>
      </c>
      <c r="I36">
        <v>0</v>
      </c>
      <c r="J36">
        <v>1739</v>
      </c>
      <c r="K36">
        <v>0</v>
      </c>
      <c r="L36">
        <v>1500</v>
      </c>
      <c r="M36">
        <v>0</v>
      </c>
      <c r="N36" t="s">
        <v>717</v>
      </c>
      <c r="O36">
        <v>1739</v>
      </c>
      <c r="P36">
        <v>0</v>
      </c>
      <c r="Q36">
        <v>-1739</v>
      </c>
      <c r="R36" t="s">
        <v>113</v>
      </c>
    </row>
    <row r="37" spans="1:19" x14ac:dyDescent="0.3">
      <c r="A37">
        <v>167</v>
      </c>
      <c r="B37" t="s">
        <v>114</v>
      </c>
      <c r="C37">
        <v>1500</v>
      </c>
      <c r="D37">
        <v>0</v>
      </c>
      <c r="E37" t="s">
        <v>20</v>
      </c>
      <c r="F37" t="s">
        <v>93</v>
      </c>
      <c r="G37" t="s">
        <v>722</v>
      </c>
      <c r="H37" s="5" t="s">
        <v>115</v>
      </c>
      <c r="I37">
        <v>0</v>
      </c>
      <c r="J37">
        <v>1748</v>
      </c>
      <c r="K37">
        <v>0</v>
      </c>
      <c r="L37">
        <v>1500</v>
      </c>
      <c r="M37">
        <v>0</v>
      </c>
      <c r="N37" t="s">
        <v>718</v>
      </c>
      <c r="O37">
        <v>1748</v>
      </c>
      <c r="P37">
        <v>0</v>
      </c>
      <c r="Q37">
        <v>-1748</v>
      </c>
      <c r="R37" t="s">
        <v>116</v>
      </c>
    </row>
    <row r="38" spans="1:19" x14ac:dyDescent="0.3">
      <c r="A38">
        <v>168</v>
      </c>
      <c r="B38" t="s">
        <v>117</v>
      </c>
      <c r="C38">
        <v>1495</v>
      </c>
      <c r="D38">
        <v>0</v>
      </c>
      <c r="E38" t="s">
        <v>20</v>
      </c>
      <c r="F38" t="s">
        <v>118</v>
      </c>
      <c r="G38" t="s">
        <v>606</v>
      </c>
      <c r="H38" s="5" t="s">
        <v>119</v>
      </c>
      <c r="I38">
        <v>0</v>
      </c>
      <c r="J38">
        <v>1495</v>
      </c>
      <c r="K38">
        <v>0</v>
      </c>
      <c r="L38">
        <v>1495</v>
      </c>
      <c r="M38">
        <v>0</v>
      </c>
      <c r="N38" s="7" t="s">
        <v>611</v>
      </c>
      <c r="O38">
        <v>1514</v>
      </c>
      <c r="P38">
        <v>-19</v>
      </c>
      <c r="Q38">
        <v>-1514</v>
      </c>
      <c r="R38">
        <v>40</v>
      </c>
    </row>
    <row r="39" spans="1:19" x14ac:dyDescent="0.3">
      <c r="A39">
        <v>170</v>
      </c>
      <c r="B39" t="s">
        <v>120</v>
      </c>
      <c r="C39">
        <v>1450</v>
      </c>
      <c r="D39">
        <v>0</v>
      </c>
      <c r="E39" t="s">
        <v>20</v>
      </c>
      <c r="F39" t="s">
        <v>93</v>
      </c>
      <c r="G39" t="s">
        <v>121</v>
      </c>
      <c r="H39" s="5" t="s">
        <v>122</v>
      </c>
      <c r="I39">
        <v>0</v>
      </c>
      <c r="J39">
        <v>0</v>
      </c>
      <c r="K39">
        <v>0</v>
      </c>
      <c r="L39">
        <v>1450</v>
      </c>
      <c r="M39">
        <v>0</v>
      </c>
      <c r="N39" t="s">
        <v>687</v>
      </c>
      <c r="O39">
        <v>2547</v>
      </c>
      <c r="P39">
        <v>-2547</v>
      </c>
      <c r="Q39">
        <v>-2547</v>
      </c>
      <c r="R39">
        <v>66</v>
      </c>
    </row>
    <row r="40" spans="1:19" x14ac:dyDescent="0.3">
      <c r="A40">
        <v>173</v>
      </c>
      <c r="B40" t="s">
        <v>123</v>
      </c>
      <c r="C40">
        <v>1435</v>
      </c>
      <c r="D40">
        <v>0</v>
      </c>
      <c r="E40" t="s">
        <v>20</v>
      </c>
      <c r="F40" t="s">
        <v>24</v>
      </c>
      <c r="G40" t="s">
        <v>540</v>
      </c>
      <c r="H40" s="5" t="s">
        <v>124</v>
      </c>
      <c r="I40">
        <v>0</v>
      </c>
      <c r="J40">
        <v>1435</v>
      </c>
      <c r="K40">
        <v>0</v>
      </c>
      <c r="L40">
        <v>1435</v>
      </c>
      <c r="M40">
        <v>0</v>
      </c>
      <c r="N40" s="1" t="s">
        <v>541</v>
      </c>
      <c r="P40">
        <v>1435</v>
      </c>
      <c r="Q40">
        <v>0</v>
      </c>
    </row>
    <row r="41" spans="1:19" x14ac:dyDescent="0.3">
      <c r="A41">
        <v>176</v>
      </c>
      <c r="B41" t="s">
        <v>125</v>
      </c>
      <c r="C41">
        <v>1407</v>
      </c>
      <c r="D41">
        <v>0</v>
      </c>
      <c r="E41" t="s">
        <v>20</v>
      </c>
      <c r="F41" t="s">
        <v>24</v>
      </c>
      <c r="G41" t="s">
        <v>609</v>
      </c>
      <c r="H41" s="5" t="s">
        <v>126</v>
      </c>
      <c r="I41">
        <v>0</v>
      </c>
      <c r="J41">
        <v>1100</v>
      </c>
      <c r="K41">
        <v>0</v>
      </c>
      <c r="L41">
        <v>1407</v>
      </c>
      <c r="M41">
        <v>0</v>
      </c>
      <c r="N41" s="7" t="s">
        <v>608</v>
      </c>
      <c r="P41">
        <v>1100</v>
      </c>
      <c r="Q41">
        <v>0</v>
      </c>
    </row>
    <row r="42" spans="1:19" x14ac:dyDescent="0.3">
      <c r="A42">
        <v>178</v>
      </c>
      <c r="B42" t="s">
        <v>127</v>
      </c>
      <c r="C42">
        <v>1401</v>
      </c>
      <c r="D42">
        <v>0</v>
      </c>
      <c r="E42" t="s">
        <v>20</v>
      </c>
      <c r="F42" t="s">
        <v>24</v>
      </c>
      <c r="G42" t="s">
        <v>613</v>
      </c>
      <c r="H42" s="5" t="s">
        <v>128</v>
      </c>
      <c r="I42">
        <v>0</v>
      </c>
      <c r="J42">
        <v>1401</v>
      </c>
      <c r="K42">
        <v>0</v>
      </c>
      <c r="L42">
        <v>1401</v>
      </c>
      <c r="M42">
        <v>0</v>
      </c>
      <c r="N42" s="7" t="s">
        <v>612</v>
      </c>
      <c r="O42">
        <v>2635</v>
      </c>
      <c r="P42">
        <v>-1234</v>
      </c>
      <c r="Q42">
        <v>-2635</v>
      </c>
      <c r="R42">
        <v>89</v>
      </c>
    </row>
    <row r="43" spans="1:19" x14ac:dyDescent="0.3">
      <c r="A43">
        <v>179</v>
      </c>
      <c r="B43" t="s">
        <v>129</v>
      </c>
      <c r="C43">
        <v>1386</v>
      </c>
      <c r="D43">
        <v>0</v>
      </c>
      <c r="E43" t="s">
        <v>20</v>
      </c>
      <c r="F43" t="s">
        <v>24</v>
      </c>
      <c r="G43" t="s">
        <v>539</v>
      </c>
      <c r="H43" s="5" t="s">
        <v>130</v>
      </c>
      <c r="I43">
        <v>0</v>
      </c>
      <c r="J43">
        <v>2386</v>
      </c>
      <c r="K43">
        <v>0</v>
      </c>
      <c r="L43">
        <v>1386</v>
      </c>
      <c r="M43">
        <v>0</v>
      </c>
      <c r="N43" s="1" t="s">
        <v>542</v>
      </c>
      <c r="P43">
        <v>2386</v>
      </c>
      <c r="Q43">
        <v>0</v>
      </c>
    </row>
    <row r="44" spans="1:19" x14ac:dyDescent="0.3">
      <c r="A44">
        <v>188</v>
      </c>
      <c r="B44" t="s">
        <v>131</v>
      </c>
      <c r="C44">
        <v>1103</v>
      </c>
      <c r="D44">
        <v>0</v>
      </c>
      <c r="E44" t="s">
        <v>20</v>
      </c>
      <c r="F44" t="s">
        <v>24</v>
      </c>
      <c r="G44" t="s">
        <v>132</v>
      </c>
      <c r="H44" t="s">
        <v>133</v>
      </c>
      <c r="I44">
        <v>0</v>
      </c>
      <c r="J44">
        <v>1103</v>
      </c>
      <c r="K44">
        <v>25</v>
      </c>
      <c r="L44">
        <v>1103</v>
      </c>
      <c r="M44">
        <v>0</v>
      </c>
      <c r="N44" s="2" t="s">
        <v>521</v>
      </c>
      <c r="P44">
        <v>1103</v>
      </c>
      <c r="Q44">
        <v>25</v>
      </c>
    </row>
    <row r="45" spans="1:19" x14ac:dyDescent="0.3">
      <c r="A45">
        <v>189</v>
      </c>
      <c r="B45" t="s">
        <v>134</v>
      </c>
      <c r="C45">
        <v>1023</v>
      </c>
      <c r="D45">
        <v>0</v>
      </c>
      <c r="E45" t="s">
        <v>20</v>
      </c>
      <c r="F45" t="s">
        <v>24</v>
      </c>
      <c r="G45" t="s">
        <v>692</v>
      </c>
      <c r="H45" s="5" t="s">
        <v>135</v>
      </c>
      <c r="I45">
        <v>0</v>
      </c>
      <c r="J45">
        <v>1023</v>
      </c>
      <c r="K45">
        <v>0</v>
      </c>
      <c r="L45">
        <v>1023</v>
      </c>
      <c r="M45">
        <v>0</v>
      </c>
      <c r="N45" t="s">
        <v>693</v>
      </c>
      <c r="O45">
        <v>1023</v>
      </c>
      <c r="P45">
        <v>0</v>
      </c>
      <c r="Q45">
        <v>-1023</v>
      </c>
      <c r="R45" t="s">
        <v>136</v>
      </c>
      <c r="S45">
        <v>2</v>
      </c>
    </row>
    <row r="46" spans="1:19" x14ac:dyDescent="0.3">
      <c r="A46">
        <v>196</v>
      </c>
      <c r="B46" t="s">
        <v>137</v>
      </c>
      <c r="C46">
        <v>1025</v>
      </c>
      <c r="D46">
        <v>0</v>
      </c>
      <c r="E46" t="s">
        <v>20</v>
      </c>
      <c r="F46" t="s">
        <v>93</v>
      </c>
      <c r="G46" t="s">
        <v>723</v>
      </c>
      <c r="H46" s="5" t="s">
        <v>138</v>
      </c>
      <c r="I46">
        <v>0</v>
      </c>
      <c r="J46">
        <v>870</v>
      </c>
      <c r="K46">
        <v>100</v>
      </c>
      <c r="L46">
        <v>1025</v>
      </c>
      <c r="M46">
        <v>0</v>
      </c>
      <c r="N46" t="s">
        <v>719</v>
      </c>
      <c r="O46">
        <v>870</v>
      </c>
      <c r="P46">
        <v>0</v>
      </c>
      <c r="Q46">
        <v>-770</v>
      </c>
      <c r="R46" t="s">
        <v>139</v>
      </c>
      <c r="S46">
        <v>1</v>
      </c>
    </row>
    <row r="47" spans="1:19" x14ac:dyDescent="0.3">
      <c r="A47">
        <v>198</v>
      </c>
      <c r="B47" t="s">
        <v>140</v>
      </c>
      <c r="C47">
        <v>892</v>
      </c>
      <c r="D47">
        <v>0</v>
      </c>
      <c r="E47" t="s">
        <v>20</v>
      </c>
      <c r="F47" t="s">
        <v>24</v>
      </c>
      <c r="G47" t="s">
        <v>531</v>
      </c>
      <c r="H47" s="5" t="s">
        <v>141</v>
      </c>
      <c r="I47">
        <v>0</v>
      </c>
      <c r="J47">
        <v>892</v>
      </c>
      <c r="K47">
        <v>0</v>
      </c>
      <c r="L47">
        <v>892</v>
      </c>
      <c r="M47">
        <v>0</v>
      </c>
      <c r="N47" t="s">
        <v>683</v>
      </c>
      <c r="O47">
        <v>748</v>
      </c>
      <c r="P47">
        <v>144</v>
      </c>
      <c r="Q47">
        <v>-748</v>
      </c>
      <c r="R47">
        <v>29</v>
      </c>
      <c r="S47">
        <v>2</v>
      </c>
    </row>
    <row r="48" spans="1:19" x14ac:dyDescent="0.3">
      <c r="A48">
        <v>201</v>
      </c>
      <c r="B48" t="s">
        <v>142</v>
      </c>
      <c r="C48">
        <v>842</v>
      </c>
      <c r="D48">
        <v>0</v>
      </c>
      <c r="E48" t="s">
        <v>20</v>
      </c>
      <c r="F48" t="s">
        <v>24</v>
      </c>
      <c r="G48" t="s">
        <v>143</v>
      </c>
      <c r="H48" t="s">
        <v>144</v>
      </c>
      <c r="I48">
        <v>0</v>
      </c>
      <c r="J48">
        <v>150</v>
      </c>
      <c r="K48">
        <v>0</v>
      </c>
      <c r="L48">
        <v>842</v>
      </c>
      <c r="M48">
        <v>0</v>
      </c>
      <c r="N48" t="s">
        <v>522</v>
      </c>
      <c r="P48">
        <v>150</v>
      </c>
      <c r="Q48">
        <v>0</v>
      </c>
    </row>
    <row r="49" spans="1:19" x14ac:dyDescent="0.3">
      <c r="A49">
        <v>203</v>
      </c>
      <c r="B49" t="s">
        <v>145</v>
      </c>
      <c r="C49">
        <v>817</v>
      </c>
      <c r="D49">
        <v>0</v>
      </c>
      <c r="E49" t="s">
        <v>20</v>
      </c>
      <c r="F49" t="s">
        <v>24</v>
      </c>
      <c r="G49" t="s">
        <v>694</v>
      </c>
      <c r="H49" s="5" t="s">
        <v>146</v>
      </c>
      <c r="I49">
        <v>0</v>
      </c>
      <c r="J49">
        <v>817</v>
      </c>
      <c r="K49">
        <v>0</v>
      </c>
      <c r="L49">
        <v>817</v>
      </c>
      <c r="M49">
        <v>0</v>
      </c>
      <c r="N49" t="s">
        <v>695</v>
      </c>
      <c r="O49">
        <v>1000</v>
      </c>
      <c r="P49">
        <v>-183</v>
      </c>
      <c r="Q49">
        <v>-1000</v>
      </c>
      <c r="R49">
        <v>97</v>
      </c>
    </row>
    <row r="50" spans="1:19" x14ac:dyDescent="0.3">
      <c r="A50">
        <v>205</v>
      </c>
      <c r="B50" t="s">
        <v>147</v>
      </c>
      <c r="C50">
        <v>775</v>
      </c>
      <c r="D50">
        <v>0</v>
      </c>
      <c r="E50" t="s">
        <v>20</v>
      </c>
      <c r="F50" t="s">
        <v>24</v>
      </c>
      <c r="G50" t="s">
        <v>148</v>
      </c>
      <c r="H50" t="s">
        <v>149</v>
      </c>
      <c r="I50">
        <v>0</v>
      </c>
      <c r="J50">
        <v>775</v>
      </c>
      <c r="K50">
        <v>0</v>
      </c>
      <c r="L50">
        <v>775</v>
      </c>
      <c r="M50">
        <v>0</v>
      </c>
      <c r="N50" s="4" t="s">
        <v>508</v>
      </c>
      <c r="P50">
        <v>775</v>
      </c>
      <c r="Q50">
        <v>0</v>
      </c>
    </row>
    <row r="51" spans="1:19" x14ac:dyDescent="0.3">
      <c r="A51">
        <v>208</v>
      </c>
      <c r="B51" t="s">
        <v>150</v>
      </c>
      <c r="C51">
        <v>700</v>
      </c>
      <c r="D51">
        <v>0</v>
      </c>
      <c r="E51" t="s">
        <v>20</v>
      </c>
      <c r="F51" t="s">
        <v>24</v>
      </c>
      <c r="G51" t="s">
        <v>538</v>
      </c>
      <c r="H51" s="5" t="s">
        <v>151</v>
      </c>
      <c r="I51">
        <v>0</v>
      </c>
      <c r="J51">
        <v>700</v>
      </c>
      <c r="K51">
        <v>0</v>
      </c>
      <c r="L51">
        <v>700</v>
      </c>
      <c r="M51">
        <v>0</v>
      </c>
      <c r="N51" s="1" t="s">
        <v>532</v>
      </c>
      <c r="O51" t="s">
        <v>581</v>
      </c>
      <c r="P51">
        <v>700</v>
      </c>
      <c r="Q51">
        <v>0</v>
      </c>
    </row>
    <row r="52" spans="1:19" x14ac:dyDescent="0.3">
      <c r="A52">
        <v>216</v>
      </c>
      <c r="B52" t="s">
        <v>152</v>
      </c>
      <c r="C52">
        <v>503</v>
      </c>
      <c r="D52">
        <v>0</v>
      </c>
      <c r="E52" t="s">
        <v>20</v>
      </c>
      <c r="F52" t="s">
        <v>24</v>
      </c>
      <c r="G52" t="s">
        <v>153</v>
      </c>
      <c r="H52" t="s">
        <v>154</v>
      </c>
      <c r="I52">
        <v>0</v>
      </c>
      <c r="J52">
        <v>0</v>
      </c>
      <c r="K52">
        <v>0</v>
      </c>
      <c r="L52">
        <v>503</v>
      </c>
      <c r="M52">
        <v>0</v>
      </c>
      <c r="N52" s="2" t="s">
        <v>773</v>
      </c>
      <c r="P52">
        <v>0</v>
      </c>
      <c r="Q52">
        <v>0</v>
      </c>
    </row>
    <row r="53" spans="1:19" x14ac:dyDescent="0.3">
      <c r="A53">
        <v>219</v>
      </c>
      <c r="B53" t="s">
        <v>155</v>
      </c>
      <c r="C53">
        <v>451</v>
      </c>
      <c r="D53">
        <v>0</v>
      </c>
      <c r="E53" t="s">
        <v>20</v>
      </c>
      <c r="F53" t="s">
        <v>24</v>
      </c>
      <c r="G53" t="s">
        <v>696</v>
      </c>
      <c r="H53" s="5" t="s">
        <v>156</v>
      </c>
      <c r="I53">
        <v>0</v>
      </c>
      <c r="J53">
        <v>451</v>
      </c>
      <c r="K53">
        <v>0</v>
      </c>
      <c r="L53">
        <v>451</v>
      </c>
      <c r="M53">
        <v>0</v>
      </c>
      <c r="N53" t="s">
        <v>730</v>
      </c>
      <c r="O53">
        <v>737</v>
      </c>
      <c r="P53">
        <v>-286</v>
      </c>
      <c r="Q53">
        <v>-737</v>
      </c>
      <c r="R53" t="s">
        <v>157</v>
      </c>
    </row>
    <row r="54" spans="1:19" x14ac:dyDescent="0.3">
      <c r="A54">
        <v>221</v>
      </c>
      <c r="B54" t="s">
        <v>158</v>
      </c>
      <c r="C54">
        <v>438</v>
      </c>
      <c r="D54">
        <v>0</v>
      </c>
      <c r="E54" t="s">
        <v>20</v>
      </c>
      <c r="F54" t="s">
        <v>93</v>
      </c>
      <c r="G54" t="s">
        <v>705</v>
      </c>
      <c r="H54" s="5" t="s">
        <v>159</v>
      </c>
      <c r="I54">
        <v>0</v>
      </c>
      <c r="J54">
        <v>4</v>
      </c>
      <c r="K54">
        <v>0</v>
      </c>
      <c r="L54">
        <v>438</v>
      </c>
      <c r="M54">
        <v>0</v>
      </c>
      <c r="N54" t="s">
        <v>707</v>
      </c>
      <c r="O54">
        <v>4</v>
      </c>
      <c r="P54">
        <v>0</v>
      </c>
      <c r="Q54">
        <v>-4</v>
      </c>
      <c r="R54">
        <v>30</v>
      </c>
      <c r="S54">
        <v>2</v>
      </c>
    </row>
    <row r="55" spans="1:19" x14ac:dyDescent="0.3">
      <c r="A55">
        <v>222</v>
      </c>
      <c r="B55" t="s">
        <v>160</v>
      </c>
      <c r="C55">
        <v>438</v>
      </c>
      <c r="D55">
        <v>0</v>
      </c>
      <c r="E55" t="s">
        <v>20</v>
      </c>
      <c r="F55" t="s">
        <v>93</v>
      </c>
      <c r="G55" t="s">
        <v>706</v>
      </c>
      <c r="H55" s="5" t="s">
        <v>161</v>
      </c>
      <c r="I55">
        <v>0</v>
      </c>
      <c r="J55">
        <v>292</v>
      </c>
      <c r="K55">
        <v>0</v>
      </c>
      <c r="L55">
        <v>438</v>
      </c>
      <c r="M55">
        <v>0</v>
      </c>
      <c r="N55" t="s">
        <v>708</v>
      </c>
      <c r="P55">
        <v>292</v>
      </c>
      <c r="Q55">
        <v>0</v>
      </c>
    </row>
    <row r="56" spans="1:19" x14ac:dyDescent="0.3">
      <c r="A56">
        <v>225</v>
      </c>
      <c r="B56" t="s">
        <v>162</v>
      </c>
      <c r="C56">
        <v>415</v>
      </c>
      <c r="D56">
        <v>0</v>
      </c>
      <c r="E56" t="s">
        <v>20</v>
      </c>
      <c r="F56" t="s">
        <v>24</v>
      </c>
      <c r="G56" t="s">
        <v>697</v>
      </c>
      <c r="H56" s="5" t="s">
        <v>163</v>
      </c>
      <c r="I56">
        <v>0</v>
      </c>
      <c r="J56">
        <v>415</v>
      </c>
      <c r="K56">
        <v>0</v>
      </c>
      <c r="L56">
        <v>415</v>
      </c>
      <c r="M56">
        <v>0</v>
      </c>
      <c r="N56" t="s">
        <v>731</v>
      </c>
      <c r="O56">
        <v>523</v>
      </c>
      <c r="P56">
        <v>-108</v>
      </c>
      <c r="Q56">
        <v>-523</v>
      </c>
      <c r="R56" t="s">
        <v>164</v>
      </c>
    </row>
    <row r="57" spans="1:19" x14ac:dyDescent="0.3">
      <c r="A57">
        <v>227</v>
      </c>
      <c r="B57" t="s">
        <v>165</v>
      </c>
      <c r="C57">
        <v>399</v>
      </c>
      <c r="D57">
        <v>0</v>
      </c>
      <c r="E57" t="s">
        <v>20</v>
      </c>
      <c r="F57" t="s">
        <v>24</v>
      </c>
      <c r="G57" t="s">
        <v>511</v>
      </c>
      <c r="H57" t="s">
        <v>166</v>
      </c>
      <c r="I57">
        <v>0</v>
      </c>
      <c r="J57">
        <v>399</v>
      </c>
      <c r="K57">
        <v>0</v>
      </c>
      <c r="L57">
        <v>399</v>
      </c>
      <c r="M57">
        <v>0</v>
      </c>
      <c r="N57" s="1" t="s">
        <v>509</v>
      </c>
      <c r="P57">
        <v>399</v>
      </c>
      <c r="Q57">
        <v>0</v>
      </c>
    </row>
    <row r="58" spans="1:19" x14ac:dyDescent="0.3">
      <c r="A58">
        <v>228</v>
      </c>
      <c r="B58" t="s">
        <v>167</v>
      </c>
      <c r="C58">
        <v>399</v>
      </c>
      <c r="D58">
        <v>0</v>
      </c>
      <c r="E58" t="s">
        <v>20</v>
      </c>
      <c r="F58" t="s">
        <v>168</v>
      </c>
      <c r="G58" t="s">
        <v>621</v>
      </c>
      <c r="H58" s="5" t="s">
        <v>169</v>
      </c>
      <c r="I58">
        <v>0</v>
      </c>
      <c r="J58">
        <v>849</v>
      </c>
      <c r="K58">
        <v>0</v>
      </c>
      <c r="L58">
        <v>399</v>
      </c>
      <c r="M58">
        <v>0</v>
      </c>
      <c r="N58" s="7" t="s">
        <v>614</v>
      </c>
      <c r="O58">
        <v>450</v>
      </c>
      <c r="P58">
        <v>399</v>
      </c>
      <c r="Q58">
        <v>-450</v>
      </c>
      <c r="R58">
        <v>30</v>
      </c>
      <c r="S58">
        <v>2</v>
      </c>
    </row>
    <row r="59" spans="1:19" x14ac:dyDescent="0.3">
      <c r="A59">
        <v>231</v>
      </c>
      <c r="B59" t="s">
        <v>170</v>
      </c>
      <c r="C59">
        <v>395</v>
      </c>
      <c r="D59">
        <v>0</v>
      </c>
      <c r="E59" t="s">
        <v>20</v>
      </c>
      <c r="F59" t="s">
        <v>24</v>
      </c>
      <c r="G59" t="s">
        <v>616</v>
      </c>
      <c r="H59" s="5" t="s">
        <v>171</v>
      </c>
      <c r="I59">
        <v>0</v>
      </c>
      <c r="J59">
        <v>395</v>
      </c>
      <c r="K59">
        <v>0</v>
      </c>
      <c r="L59">
        <v>395</v>
      </c>
      <c r="M59">
        <v>0</v>
      </c>
      <c r="N59" s="1" t="s">
        <v>615</v>
      </c>
      <c r="O59">
        <v>373</v>
      </c>
      <c r="P59">
        <v>22</v>
      </c>
      <c r="Q59">
        <v>-373</v>
      </c>
      <c r="R59">
        <v>29</v>
      </c>
      <c r="S59">
        <v>2</v>
      </c>
    </row>
    <row r="60" spans="1:19" x14ac:dyDescent="0.3">
      <c r="A60">
        <v>233</v>
      </c>
      <c r="B60" t="s">
        <v>172</v>
      </c>
      <c r="C60">
        <v>384</v>
      </c>
      <c r="D60">
        <v>0</v>
      </c>
      <c r="E60" t="s">
        <v>20</v>
      </c>
      <c r="F60" t="s">
        <v>24</v>
      </c>
      <c r="G60" t="s">
        <v>173</v>
      </c>
      <c r="H60" t="s">
        <v>174</v>
      </c>
      <c r="I60">
        <v>0</v>
      </c>
      <c r="J60">
        <v>384</v>
      </c>
      <c r="K60">
        <v>0</v>
      </c>
      <c r="L60">
        <v>384</v>
      </c>
      <c r="M60">
        <v>0</v>
      </c>
      <c r="N60" t="s">
        <v>517</v>
      </c>
      <c r="P60">
        <v>384</v>
      </c>
      <c r="Q60">
        <v>0</v>
      </c>
    </row>
    <row r="61" spans="1:19" x14ac:dyDescent="0.3">
      <c r="A61">
        <v>234</v>
      </c>
      <c r="B61" t="s">
        <v>175</v>
      </c>
      <c r="C61">
        <v>381</v>
      </c>
      <c r="D61">
        <v>0</v>
      </c>
      <c r="E61" t="s">
        <v>20</v>
      </c>
      <c r="F61" t="s">
        <v>24</v>
      </c>
      <c r="G61" t="s">
        <v>512</v>
      </c>
      <c r="H61" t="s">
        <v>176</v>
      </c>
      <c r="I61">
        <v>0</v>
      </c>
      <c r="J61">
        <v>381</v>
      </c>
      <c r="K61">
        <v>0</v>
      </c>
      <c r="L61">
        <v>381</v>
      </c>
      <c r="M61">
        <v>0</v>
      </c>
      <c r="N61" s="1" t="s">
        <v>510</v>
      </c>
      <c r="P61">
        <v>381</v>
      </c>
      <c r="Q61">
        <v>0</v>
      </c>
    </row>
    <row r="62" spans="1:19" x14ac:dyDescent="0.3">
      <c r="A62">
        <v>235</v>
      </c>
      <c r="B62" t="s">
        <v>177</v>
      </c>
      <c r="C62">
        <v>379</v>
      </c>
      <c r="D62">
        <v>0</v>
      </c>
      <c r="E62" t="s">
        <v>20</v>
      </c>
      <c r="F62" t="s">
        <v>24</v>
      </c>
      <c r="G62" t="s">
        <v>178</v>
      </c>
      <c r="H62" t="s">
        <v>179</v>
      </c>
      <c r="I62">
        <v>0</v>
      </c>
      <c r="J62">
        <v>200</v>
      </c>
      <c r="K62">
        <v>0</v>
      </c>
      <c r="L62">
        <v>379</v>
      </c>
      <c r="M62">
        <v>0</v>
      </c>
      <c r="N62" t="s">
        <v>518</v>
      </c>
      <c r="O62">
        <v>363</v>
      </c>
      <c r="P62">
        <v>-163</v>
      </c>
      <c r="Q62">
        <v>-363</v>
      </c>
      <c r="R62">
        <v>94</v>
      </c>
    </row>
    <row r="63" spans="1:19" x14ac:dyDescent="0.3">
      <c r="A63">
        <v>239</v>
      </c>
      <c r="B63" t="s">
        <v>180</v>
      </c>
      <c r="C63">
        <v>360</v>
      </c>
      <c r="D63">
        <v>0</v>
      </c>
      <c r="E63" t="s">
        <v>20</v>
      </c>
      <c r="F63" t="s">
        <v>24</v>
      </c>
      <c r="G63" t="s">
        <v>181</v>
      </c>
      <c r="H63" t="s">
        <v>182</v>
      </c>
      <c r="I63">
        <v>0</v>
      </c>
      <c r="J63">
        <v>360</v>
      </c>
      <c r="K63">
        <v>0</v>
      </c>
      <c r="L63">
        <v>360</v>
      </c>
      <c r="M63">
        <v>0</v>
      </c>
      <c r="N63" t="s">
        <v>638</v>
      </c>
      <c r="P63">
        <v>360</v>
      </c>
      <c r="Q63">
        <v>0</v>
      </c>
    </row>
    <row r="64" spans="1:19" x14ac:dyDescent="0.3">
      <c r="A64">
        <v>241</v>
      </c>
      <c r="B64" t="s">
        <v>183</v>
      </c>
      <c r="C64">
        <v>307</v>
      </c>
      <c r="D64">
        <v>0</v>
      </c>
      <c r="E64" t="s">
        <v>20</v>
      </c>
      <c r="F64" t="s">
        <v>24</v>
      </c>
      <c r="G64" t="s">
        <v>673</v>
      </c>
      <c r="H64" s="5" t="s">
        <v>184</v>
      </c>
      <c r="I64">
        <v>0</v>
      </c>
      <c r="J64">
        <v>807</v>
      </c>
      <c r="K64">
        <v>0</v>
      </c>
      <c r="L64">
        <v>307</v>
      </c>
      <c r="M64">
        <v>0</v>
      </c>
      <c r="N64" t="s">
        <v>672</v>
      </c>
      <c r="O64">
        <v>1192</v>
      </c>
      <c r="P64">
        <v>-385</v>
      </c>
      <c r="Q64">
        <v>-1192</v>
      </c>
      <c r="R64" t="s">
        <v>185</v>
      </c>
    </row>
    <row r="65" spans="1:19" x14ac:dyDescent="0.3">
      <c r="A65">
        <v>243</v>
      </c>
      <c r="B65" t="s">
        <v>186</v>
      </c>
      <c r="C65">
        <v>302</v>
      </c>
      <c r="D65">
        <v>0</v>
      </c>
      <c r="E65" t="s">
        <v>20</v>
      </c>
      <c r="F65" t="s">
        <v>24</v>
      </c>
      <c r="G65" t="s">
        <v>684</v>
      </c>
      <c r="H65" s="5" t="s">
        <v>187</v>
      </c>
      <c r="I65">
        <v>0</v>
      </c>
      <c r="J65">
        <v>302</v>
      </c>
      <c r="K65">
        <v>0</v>
      </c>
      <c r="L65">
        <v>302</v>
      </c>
      <c r="M65">
        <v>0</v>
      </c>
      <c r="N65" t="s">
        <v>685</v>
      </c>
      <c r="P65">
        <v>302</v>
      </c>
      <c r="Q65">
        <v>0</v>
      </c>
    </row>
    <row r="66" spans="1:19" x14ac:dyDescent="0.3">
      <c r="A66">
        <v>245</v>
      </c>
      <c r="B66" t="s">
        <v>188</v>
      </c>
      <c r="C66">
        <v>300</v>
      </c>
      <c r="D66">
        <v>0</v>
      </c>
      <c r="E66" t="s">
        <v>20</v>
      </c>
      <c r="F66" t="s">
        <v>93</v>
      </c>
      <c r="G66" t="s">
        <v>618</v>
      </c>
      <c r="H66" s="5" t="s">
        <v>189</v>
      </c>
      <c r="I66">
        <v>0</v>
      </c>
      <c r="J66">
        <v>187</v>
      </c>
      <c r="K66">
        <v>0</v>
      </c>
      <c r="L66">
        <v>300</v>
      </c>
      <c r="M66">
        <v>0</v>
      </c>
      <c r="N66" s="7" t="s">
        <v>617</v>
      </c>
      <c r="P66">
        <v>187</v>
      </c>
      <c r="Q66">
        <v>0</v>
      </c>
    </row>
    <row r="67" spans="1:19" x14ac:dyDescent="0.3">
      <c r="A67">
        <v>249</v>
      </c>
      <c r="B67" t="s">
        <v>190</v>
      </c>
      <c r="C67">
        <v>274</v>
      </c>
      <c r="D67">
        <v>0</v>
      </c>
      <c r="E67" t="s">
        <v>20</v>
      </c>
      <c r="F67" t="s">
        <v>24</v>
      </c>
      <c r="G67" s="8" t="s">
        <v>619</v>
      </c>
      <c r="H67" s="5" t="s">
        <v>191</v>
      </c>
      <c r="I67">
        <v>0</v>
      </c>
      <c r="J67">
        <v>274</v>
      </c>
      <c r="K67">
        <v>0</v>
      </c>
      <c r="L67">
        <v>274</v>
      </c>
      <c r="M67">
        <v>0</v>
      </c>
      <c r="N67" s="7" t="s">
        <v>630</v>
      </c>
      <c r="P67">
        <v>274</v>
      </c>
      <c r="Q67">
        <v>0</v>
      </c>
    </row>
    <row r="68" spans="1:19" x14ac:dyDescent="0.3">
      <c r="A68">
        <v>250</v>
      </c>
      <c r="B68" t="s">
        <v>192</v>
      </c>
      <c r="C68">
        <v>264</v>
      </c>
      <c r="D68">
        <v>0</v>
      </c>
      <c r="E68" t="s">
        <v>20</v>
      </c>
      <c r="F68" t="s">
        <v>93</v>
      </c>
      <c r="G68" t="s">
        <v>691</v>
      </c>
      <c r="H68" s="5" t="s">
        <v>193</v>
      </c>
      <c r="I68">
        <v>0</v>
      </c>
      <c r="J68">
        <v>225</v>
      </c>
      <c r="K68">
        <v>0</v>
      </c>
      <c r="L68">
        <v>264</v>
      </c>
      <c r="M68">
        <v>0</v>
      </c>
      <c r="N68" t="s">
        <v>690</v>
      </c>
      <c r="O68">
        <v>225</v>
      </c>
      <c r="P68">
        <v>0</v>
      </c>
      <c r="Q68">
        <v>-225</v>
      </c>
      <c r="R68">
        <v>30</v>
      </c>
      <c r="S68">
        <v>2</v>
      </c>
    </row>
    <row r="69" spans="1:19" x14ac:dyDescent="0.3">
      <c r="A69">
        <v>251</v>
      </c>
      <c r="B69" t="s">
        <v>194</v>
      </c>
      <c r="C69">
        <v>304</v>
      </c>
      <c r="D69">
        <v>0</v>
      </c>
      <c r="E69" t="s">
        <v>20</v>
      </c>
      <c r="F69" t="s">
        <v>24</v>
      </c>
      <c r="G69" t="s">
        <v>523</v>
      </c>
      <c r="H69" t="s">
        <v>195</v>
      </c>
      <c r="I69">
        <v>0</v>
      </c>
      <c r="J69">
        <v>304</v>
      </c>
      <c r="K69">
        <v>50</v>
      </c>
      <c r="L69">
        <v>304</v>
      </c>
      <c r="M69">
        <v>0</v>
      </c>
      <c r="N69" t="s">
        <v>524</v>
      </c>
      <c r="P69">
        <v>304</v>
      </c>
      <c r="Q69">
        <v>50</v>
      </c>
    </row>
    <row r="70" spans="1:19" x14ac:dyDescent="0.3">
      <c r="A70">
        <v>255</v>
      </c>
      <c r="B70" t="s">
        <v>196</v>
      </c>
      <c r="C70">
        <v>330</v>
      </c>
      <c r="D70">
        <v>0</v>
      </c>
      <c r="E70" t="s">
        <v>20</v>
      </c>
      <c r="F70" t="s">
        <v>93</v>
      </c>
      <c r="G70" t="s">
        <v>728</v>
      </c>
      <c r="H70" s="5" t="s">
        <v>197</v>
      </c>
      <c r="I70">
        <v>0</v>
      </c>
      <c r="J70">
        <v>1830</v>
      </c>
      <c r="K70">
        <v>100</v>
      </c>
      <c r="L70">
        <v>330</v>
      </c>
      <c r="M70">
        <v>0</v>
      </c>
      <c r="N70" t="s">
        <v>720</v>
      </c>
      <c r="O70">
        <v>1830</v>
      </c>
      <c r="P70">
        <v>0</v>
      </c>
      <c r="Q70">
        <v>-1730</v>
      </c>
      <c r="R70">
        <v>86</v>
      </c>
    </row>
    <row r="71" spans="1:19" x14ac:dyDescent="0.3">
      <c r="A71">
        <v>257</v>
      </c>
      <c r="B71">
        <v>460015</v>
      </c>
      <c r="C71">
        <v>250</v>
      </c>
      <c r="D71">
        <v>0</v>
      </c>
      <c r="E71" t="s">
        <v>20</v>
      </c>
      <c r="F71" t="s">
        <v>24</v>
      </c>
      <c r="G71" t="s">
        <v>198</v>
      </c>
      <c r="H71" s="5" t="s">
        <v>199</v>
      </c>
      <c r="I71">
        <v>0</v>
      </c>
      <c r="J71">
        <v>0</v>
      </c>
      <c r="K71">
        <v>40</v>
      </c>
      <c r="L71">
        <v>250</v>
      </c>
      <c r="M71">
        <v>0</v>
      </c>
      <c r="N71" t="s">
        <v>762</v>
      </c>
      <c r="P71">
        <v>0</v>
      </c>
      <c r="Q71">
        <v>40</v>
      </c>
    </row>
    <row r="72" spans="1:19" x14ac:dyDescent="0.3">
      <c r="A72">
        <v>258</v>
      </c>
      <c r="B72">
        <v>610016</v>
      </c>
      <c r="C72">
        <v>250</v>
      </c>
      <c r="D72">
        <v>0</v>
      </c>
      <c r="E72" t="s">
        <v>20</v>
      </c>
      <c r="G72" t="s">
        <v>200</v>
      </c>
      <c r="H72" t="s">
        <v>201</v>
      </c>
      <c r="I72">
        <v>0</v>
      </c>
      <c r="J72">
        <v>250</v>
      </c>
      <c r="K72">
        <v>40</v>
      </c>
      <c r="L72">
        <v>250</v>
      </c>
      <c r="M72">
        <v>0</v>
      </c>
      <c r="N72" t="s">
        <v>640</v>
      </c>
      <c r="O72">
        <v>1435</v>
      </c>
      <c r="P72">
        <v>-1185</v>
      </c>
      <c r="Q72">
        <v>-1395</v>
      </c>
      <c r="R72">
        <v>40</v>
      </c>
    </row>
    <row r="73" spans="1:19" x14ac:dyDescent="0.3">
      <c r="A73">
        <v>259</v>
      </c>
      <c r="B73" t="s">
        <v>202</v>
      </c>
      <c r="C73">
        <v>205</v>
      </c>
      <c r="D73">
        <v>2500</v>
      </c>
      <c r="E73" t="s">
        <v>20</v>
      </c>
      <c r="F73" t="s">
        <v>118</v>
      </c>
      <c r="G73" t="s">
        <v>203</v>
      </c>
      <c r="H73" s="9" t="s">
        <v>671</v>
      </c>
      <c r="I73">
        <v>0</v>
      </c>
      <c r="J73">
        <v>0</v>
      </c>
      <c r="K73">
        <v>0</v>
      </c>
      <c r="L73">
        <v>205</v>
      </c>
      <c r="M73">
        <v>0</v>
      </c>
      <c r="N73" t="s">
        <v>758</v>
      </c>
      <c r="P73">
        <v>0</v>
      </c>
      <c r="Q73">
        <v>0</v>
      </c>
    </row>
    <row r="74" spans="1:19" x14ac:dyDescent="0.3">
      <c r="A74">
        <v>260</v>
      </c>
      <c r="B74" t="s">
        <v>204</v>
      </c>
      <c r="C74">
        <v>204</v>
      </c>
      <c r="D74">
        <v>0</v>
      </c>
      <c r="E74" t="s">
        <v>20</v>
      </c>
      <c r="F74" t="s">
        <v>24</v>
      </c>
      <c r="G74" t="s">
        <v>205</v>
      </c>
      <c r="H74" t="s">
        <v>206</v>
      </c>
      <c r="I74">
        <v>0</v>
      </c>
      <c r="J74">
        <v>60</v>
      </c>
      <c r="K74">
        <v>0</v>
      </c>
      <c r="L74">
        <v>204</v>
      </c>
      <c r="M74">
        <v>0</v>
      </c>
      <c r="N74" t="s">
        <v>654</v>
      </c>
      <c r="O74">
        <v>215</v>
      </c>
      <c r="P74">
        <v>-155</v>
      </c>
      <c r="Q74">
        <v>-215</v>
      </c>
      <c r="R74">
        <v>94</v>
      </c>
    </row>
    <row r="75" spans="1:19" x14ac:dyDescent="0.3">
      <c r="A75">
        <v>262</v>
      </c>
      <c r="B75" s="1" t="s">
        <v>207</v>
      </c>
      <c r="C75">
        <v>225</v>
      </c>
      <c r="D75">
        <v>0</v>
      </c>
      <c r="E75" t="s">
        <v>20</v>
      </c>
      <c r="F75" t="s">
        <v>24</v>
      </c>
      <c r="G75" t="s">
        <v>208</v>
      </c>
      <c r="H75" s="9" t="s">
        <v>782</v>
      </c>
      <c r="I75">
        <v>0</v>
      </c>
      <c r="J75">
        <v>211</v>
      </c>
      <c r="K75">
        <v>25</v>
      </c>
      <c r="L75">
        <v>225</v>
      </c>
      <c r="M75">
        <v>0</v>
      </c>
      <c r="N75" t="s">
        <v>783</v>
      </c>
      <c r="P75">
        <v>211</v>
      </c>
      <c r="Q75">
        <v>25</v>
      </c>
    </row>
    <row r="76" spans="1:19" x14ac:dyDescent="0.3">
      <c r="A76">
        <v>266</v>
      </c>
      <c r="B76">
        <v>610034</v>
      </c>
      <c r="C76">
        <v>250</v>
      </c>
      <c r="D76">
        <v>0</v>
      </c>
      <c r="E76" t="s">
        <v>20</v>
      </c>
      <c r="G76" t="s">
        <v>209</v>
      </c>
      <c r="H76" t="s">
        <v>210</v>
      </c>
      <c r="I76">
        <v>0</v>
      </c>
      <c r="J76">
        <v>250</v>
      </c>
      <c r="K76">
        <v>80</v>
      </c>
      <c r="L76">
        <v>250</v>
      </c>
      <c r="M76">
        <v>0</v>
      </c>
      <c r="N76" t="s">
        <v>641</v>
      </c>
      <c r="O76">
        <v>1317</v>
      </c>
      <c r="P76">
        <v>-1067</v>
      </c>
      <c r="Q76">
        <v>-1237</v>
      </c>
      <c r="R76">
        <v>40</v>
      </c>
    </row>
    <row r="77" spans="1:19" x14ac:dyDescent="0.3">
      <c r="A77">
        <v>267</v>
      </c>
      <c r="B77" t="s">
        <v>211</v>
      </c>
      <c r="C77">
        <v>164</v>
      </c>
      <c r="D77">
        <v>0</v>
      </c>
      <c r="E77" t="s">
        <v>20</v>
      </c>
      <c r="F77" t="s">
        <v>24</v>
      </c>
      <c r="G77" t="s">
        <v>620</v>
      </c>
      <c r="H77" s="5" t="s">
        <v>212</v>
      </c>
      <c r="I77">
        <v>0</v>
      </c>
      <c r="J77">
        <v>264</v>
      </c>
      <c r="K77">
        <v>0</v>
      </c>
      <c r="L77">
        <v>164</v>
      </c>
      <c r="M77">
        <v>0</v>
      </c>
      <c r="N77" s="7" t="s">
        <v>631</v>
      </c>
      <c r="P77">
        <v>264</v>
      </c>
      <c r="Q77">
        <v>0</v>
      </c>
    </row>
    <row r="78" spans="1:19" x14ac:dyDescent="0.3">
      <c r="A78">
        <v>268</v>
      </c>
      <c r="B78" t="s">
        <v>213</v>
      </c>
      <c r="C78">
        <v>158</v>
      </c>
      <c r="D78">
        <v>0</v>
      </c>
      <c r="E78" t="s">
        <v>20</v>
      </c>
      <c r="F78" t="s">
        <v>24</v>
      </c>
      <c r="G78" t="s">
        <v>622</v>
      </c>
      <c r="H78" s="5" t="s">
        <v>214</v>
      </c>
      <c r="I78">
        <v>0</v>
      </c>
      <c r="J78">
        <v>20</v>
      </c>
      <c r="K78">
        <v>0</v>
      </c>
      <c r="L78">
        <v>158</v>
      </c>
      <c r="M78">
        <v>0</v>
      </c>
      <c r="N78" s="7" t="s">
        <v>632</v>
      </c>
      <c r="P78">
        <v>20</v>
      </c>
      <c r="Q78">
        <v>0</v>
      </c>
    </row>
    <row r="79" spans="1:19" x14ac:dyDescent="0.3">
      <c r="A79">
        <v>269</v>
      </c>
      <c r="B79" t="s">
        <v>215</v>
      </c>
      <c r="C79">
        <v>152</v>
      </c>
      <c r="D79">
        <v>0</v>
      </c>
      <c r="E79" t="s">
        <v>20</v>
      </c>
      <c r="F79" t="s">
        <v>24</v>
      </c>
      <c r="G79" t="s">
        <v>216</v>
      </c>
      <c r="H79" s="5" t="s">
        <v>217</v>
      </c>
      <c r="I79">
        <v>0</v>
      </c>
      <c r="J79">
        <v>0</v>
      </c>
      <c r="K79">
        <v>0</v>
      </c>
      <c r="L79">
        <v>152</v>
      </c>
      <c r="M79">
        <v>0</v>
      </c>
      <c r="N79" s="4" t="s">
        <v>579</v>
      </c>
      <c r="O79" t="s">
        <v>580</v>
      </c>
      <c r="P79">
        <v>0</v>
      </c>
      <c r="Q79">
        <v>0</v>
      </c>
    </row>
    <row r="80" spans="1:19" x14ac:dyDescent="0.3">
      <c r="A80">
        <v>270</v>
      </c>
      <c r="B80" t="s">
        <v>218</v>
      </c>
      <c r="C80">
        <v>150</v>
      </c>
      <c r="D80">
        <v>0</v>
      </c>
      <c r="E80" t="s">
        <v>20</v>
      </c>
      <c r="F80" t="s">
        <v>93</v>
      </c>
      <c r="G80" t="s">
        <v>562</v>
      </c>
      <c r="H80" s="5">
        <v>1829950</v>
      </c>
      <c r="I80">
        <v>0</v>
      </c>
      <c r="J80">
        <v>151</v>
      </c>
      <c r="K80">
        <v>0</v>
      </c>
      <c r="L80">
        <v>150</v>
      </c>
      <c r="M80">
        <v>0</v>
      </c>
      <c r="N80" s="1" t="s">
        <v>556</v>
      </c>
      <c r="O80">
        <v>150</v>
      </c>
      <c r="P80">
        <v>1</v>
      </c>
      <c r="Q80">
        <v>-150</v>
      </c>
      <c r="R80">
        <v>90</v>
      </c>
    </row>
    <row r="81" spans="1:19" x14ac:dyDescent="0.3">
      <c r="A81">
        <v>271</v>
      </c>
      <c r="B81" t="s">
        <v>219</v>
      </c>
      <c r="C81">
        <v>149</v>
      </c>
      <c r="D81">
        <v>0</v>
      </c>
      <c r="E81" t="s">
        <v>20</v>
      </c>
      <c r="F81" t="s">
        <v>93</v>
      </c>
      <c r="G81" t="s">
        <v>561</v>
      </c>
      <c r="H81" s="5">
        <v>1803293</v>
      </c>
      <c r="I81">
        <v>0</v>
      </c>
      <c r="J81">
        <v>149</v>
      </c>
      <c r="K81">
        <v>0</v>
      </c>
      <c r="L81">
        <v>149</v>
      </c>
      <c r="M81">
        <v>0</v>
      </c>
      <c r="N81" s="1" t="s">
        <v>557</v>
      </c>
      <c r="O81">
        <v>147</v>
      </c>
      <c r="P81">
        <v>2</v>
      </c>
      <c r="Q81">
        <v>-147</v>
      </c>
      <c r="R81">
        <v>90</v>
      </c>
    </row>
    <row r="82" spans="1:19" x14ac:dyDescent="0.3">
      <c r="A82">
        <v>272</v>
      </c>
      <c r="B82" t="s">
        <v>220</v>
      </c>
      <c r="C82">
        <v>143</v>
      </c>
      <c r="D82">
        <v>0</v>
      </c>
      <c r="E82" t="s">
        <v>20</v>
      </c>
      <c r="F82" t="s">
        <v>93</v>
      </c>
      <c r="G82" t="s">
        <v>221</v>
      </c>
      <c r="H82" s="5" t="s">
        <v>222</v>
      </c>
      <c r="I82">
        <v>0</v>
      </c>
      <c r="J82">
        <v>143</v>
      </c>
      <c r="K82">
        <v>0</v>
      </c>
      <c r="L82">
        <v>143</v>
      </c>
      <c r="M82">
        <v>0</v>
      </c>
      <c r="N82" t="s">
        <v>709</v>
      </c>
      <c r="P82">
        <v>143</v>
      </c>
      <c r="Q82">
        <v>0</v>
      </c>
    </row>
    <row r="83" spans="1:19" x14ac:dyDescent="0.3">
      <c r="A83">
        <v>273</v>
      </c>
      <c r="B83" t="s">
        <v>223</v>
      </c>
      <c r="C83">
        <v>142</v>
      </c>
      <c r="D83">
        <v>0</v>
      </c>
      <c r="E83" t="s">
        <v>20</v>
      </c>
      <c r="F83" t="s">
        <v>24</v>
      </c>
      <c r="G83" t="s">
        <v>623</v>
      </c>
      <c r="H83" s="5" t="s">
        <v>224</v>
      </c>
      <c r="I83">
        <v>0</v>
      </c>
      <c r="J83">
        <v>0</v>
      </c>
      <c r="K83">
        <v>0</v>
      </c>
      <c r="L83">
        <v>142</v>
      </c>
      <c r="M83">
        <v>0</v>
      </c>
      <c r="N83" s="7" t="s">
        <v>633</v>
      </c>
      <c r="P83">
        <v>0</v>
      </c>
      <c r="Q83">
        <v>0</v>
      </c>
    </row>
    <row r="84" spans="1:19" x14ac:dyDescent="0.3">
      <c r="A84">
        <v>274</v>
      </c>
      <c r="B84" t="s">
        <v>225</v>
      </c>
      <c r="C84">
        <v>142</v>
      </c>
      <c r="D84">
        <v>0</v>
      </c>
      <c r="E84" t="s">
        <v>20</v>
      </c>
      <c r="F84" t="s">
        <v>93</v>
      </c>
      <c r="G84" t="s">
        <v>574</v>
      </c>
      <c r="H84" s="5" t="s">
        <v>226</v>
      </c>
      <c r="I84">
        <v>0</v>
      </c>
      <c r="J84">
        <v>4</v>
      </c>
      <c r="K84">
        <v>0</v>
      </c>
      <c r="L84">
        <v>142</v>
      </c>
      <c r="M84">
        <v>0</v>
      </c>
      <c r="N84" s="1" t="s">
        <v>573</v>
      </c>
      <c r="O84" s="1" t="s">
        <v>577</v>
      </c>
      <c r="P84">
        <v>4</v>
      </c>
      <c r="Q84">
        <v>0</v>
      </c>
    </row>
    <row r="85" spans="1:19" x14ac:dyDescent="0.3">
      <c r="A85">
        <v>275</v>
      </c>
      <c r="B85" t="s">
        <v>227</v>
      </c>
      <c r="C85">
        <v>139</v>
      </c>
      <c r="D85">
        <v>0</v>
      </c>
      <c r="E85" t="s">
        <v>20</v>
      </c>
      <c r="F85" t="s">
        <v>93</v>
      </c>
      <c r="G85" t="s">
        <v>741</v>
      </c>
      <c r="H85" s="5" t="s">
        <v>228</v>
      </c>
      <c r="I85">
        <v>0</v>
      </c>
      <c r="J85">
        <v>5</v>
      </c>
      <c r="K85">
        <v>0</v>
      </c>
      <c r="L85">
        <v>139</v>
      </c>
      <c r="M85">
        <v>0</v>
      </c>
      <c r="N85" t="s">
        <v>740</v>
      </c>
      <c r="O85">
        <v>5</v>
      </c>
      <c r="P85">
        <v>0</v>
      </c>
      <c r="Q85">
        <v>-5</v>
      </c>
      <c r="R85">
        <v>30</v>
      </c>
      <c r="S85">
        <v>2</v>
      </c>
    </row>
    <row r="86" spans="1:19" x14ac:dyDescent="0.3">
      <c r="A86">
        <v>276</v>
      </c>
      <c r="B86" t="s">
        <v>229</v>
      </c>
      <c r="C86">
        <v>138</v>
      </c>
      <c r="D86">
        <v>0</v>
      </c>
      <c r="E86" t="s">
        <v>20</v>
      </c>
      <c r="F86" t="s">
        <v>93</v>
      </c>
      <c r="G86" t="s">
        <v>576</v>
      </c>
      <c r="H86" s="5" t="s">
        <v>230</v>
      </c>
      <c r="I86">
        <v>0</v>
      </c>
      <c r="J86">
        <v>0</v>
      </c>
      <c r="K86">
        <v>0</v>
      </c>
      <c r="L86">
        <v>138</v>
      </c>
      <c r="M86">
        <v>0</v>
      </c>
      <c r="N86" s="1" t="s">
        <v>575</v>
      </c>
      <c r="O86" s="1" t="s">
        <v>577</v>
      </c>
      <c r="P86">
        <v>0</v>
      </c>
      <c r="Q86">
        <v>0</v>
      </c>
    </row>
    <row r="87" spans="1:19" x14ac:dyDescent="0.3">
      <c r="A87">
        <v>277</v>
      </c>
      <c r="B87" t="s">
        <v>231</v>
      </c>
      <c r="C87">
        <v>138</v>
      </c>
      <c r="D87">
        <v>0</v>
      </c>
      <c r="E87" t="s">
        <v>20</v>
      </c>
      <c r="F87" t="s">
        <v>93</v>
      </c>
      <c r="G87" t="s">
        <v>232</v>
      </c>
      <c r="H87"/>
      <c r="I87">
        <v>0</v>
      </c>
      <c r="J87">
        <v>0</v>
      </c>
      <c r="K87">
        <v>0</v>
      </c>
      <c r="L87">
        <v>138</v>
      </c>
      <c r="M87">
        <v>0</v>
      </c>
      <c r="N87" t="s">
        <v>763</v>
      </c>
      <c r="P87">
        <v>0</v>
      </c>
      <c r="Q87">
        <v>0</v>
      </c>
    </row>
    <row r="88" spans="1:19" x14ac:dyDescent="0.3">
      <c r="A88">
        <v>278</v>
      </c>
      <c r="B88" t="s">
        <v>233</v>
      </c>
      <c r="C88">
        <v>129</v>
      </c>
      <c r="D88">
        <v>0</v>
      </c>
      <c r="E88" t="s">
        <v>20</v>
      </c>
      <c r="F88" t="s">
        <v>24</v>
      </c>
      <c r="G88" t="s">
        <v>664</v>
      </c>
      <c r="H88" s="5" t="s">
        <v>665</v>
      </c>
      <c r="I88">
        <v>0</v>
      </c>
      <c r="J88">
        <v>20</v>
      </c>
      <c r="K88">
        <v>0</v>
      </c>
      <c r="L88">
        <v>129</v>
      </c>
      <c r="M88">
        <v>0</v>
      </c>
      <c r="N88" t="s">
        <v>663</v>
      </c>
      <c r="P88">
        <v>20</v>
      </c>
      <c r="Q88">
        <v>0</v>
      </c>
    </row>
    <row r="89" spans="1:19" x14ac:dyDescent="0.3">
      <c r="A89">
        <v>282</v>
      </c>
      <c r="B89" s="1" t="s">
        <v>234</v>
      </c>
      <c r="C89">
        <v>103</v>
      </c>
      <c r="D89">
        <v>0</v>
      </c>
      <c r="E89" t="s">
        <v>20</v>
      </c>
      <c r="F89" t="s">
        <v>93</v>
      </c>
      <c r="G89" t="s">
        <v>235</v>
      </c>
      <c r="H89" s="5" t="s">
        <v>236</v>
      </c>
      <c r="I89">
        <v>0</v>
      </c>
      <c r="J89">
        <v>100</v>
      </c>
      <c r="K89">
        <v>0</v>
      </c>
      <c r="L89">
        <v>103</v>
      </c>
      <c r="M89">
        <v>0</v>
      </c>
      <c r="N89">
        <f>_xlfn.XLOOKUP(B89,[1]Sheet1!$B$1:$B$195,[1]Sheet1!$N$1:$N$195)</f>
        <v>0</v>
      </c>
      <c r="P89">
        <v>100</v>
      </c>
      <c r="Q89">
        <v>0</v>
      </c>
    </row>
    <row r="90" spans="1:19" x14ac:dyDescent="0.3">
      <c r="A90">
        <v>284</v>
      </c>
      <c r="B90" t="s">
        <v>237</v>
      </c>
      <c r="C90">
        <v>90</v>
      </c>
      <c r="D90">
        <v>0</v>
      </c>
      <c r="E90" t="s">
        <v>20</v>
      </c>
      <c r="F90" t="s">
        <v>93</v>
      </c>
      <c r="G90" t="s">
        <v>571</v>
      </c>
      <c r="H90" s="5">
        <v>1526410000</v>
      </c>
      <c r="I90">
        <v>0</v>
      </c>
      <c r="J90">
        <v>90</v>
      </c>
      <c r="K90">
        <v>0</v>
      </c>
      <c r="L90">
        <v>90</v>
      </c>
      <c r="M90">
        <v>0</v>
      </c>
      <c r="N90" s="1" t="s">
        <v>563</v>
      </c>
      <c r="O90">
        <v>90</v>
      </c>
      <c r="P90">
        <v>0</v>
      </c>
      <c r="Q90">
        <v>-90</v>
      </c>
      <c r="R90">
        <v>92</v>
      </c>
    </row>
    <row r="91" spans="1:19" x14ac:dyDescent="0.3">
      <c r="A91">
        <v>286</v>
      </c>
      <c r="B91" t="s">
        <v>238</v>
      </c>
      <c r="C91">
        <v>81</v>
      </c>
      <c r="D91">
        <v>0</v>
      </c>
      <c r="E91" t="s">
        <v>20</v>
      </c>
      <c r="F91" t="s">
        <v>24</v>
      </c>
      <c r="G91" t="s">
        <v>624</v>
      </c>
      <c r="H91" s="5" t="s">
        <v>239</v>
      </c>
      <c r="I91">
        <v>0</v>
      </c>
      <c r="J91">
        <v>81</v>
      </c>
      <c r="K91">
        <v>0</v>
      </c>
      <c r="L91">
        <v>81</v>
      </c>
      <c r="M91">
        <v>0</v>
      </c>
      <c r="N91" s="7" t="s">
        <v>634</v>
      </c>
      <c r="P91">
        <v>81</v>
      </c>
      <c r="Q91">
        <v>0</v>
      </c>
    </row>
    <row r="92" spans="1:19" x14ac:dyDescent="0.3">
      <c r="A92">
        <v>287</v>
      </c>
      <c r="B92" t="s">
        <v>240</v>
      </c>
      <c r="C92">
        <v>77</v>
      </c>
      <c r="D92">
        <v>0</v>
      </c>
      <c r="E92" t="s">
        <v>20</v>
      </c>
      <c r="F92" t="s">
        <v>93</v>
      </c>
      <c r="G92" t="s">
        <v>241</v>
      </c>
      <c r="H92" s="5">
        <v>1829976</v>
      </c>
      <c r="I92">
        <v>0</v>
      </c>
      <c r="J92">
        <v>75</v>
      </c>
      <c r="K92">
        <v>0</v>
      </c>
      <c r="L92">
        <v>77</v>
      </c>
      <c r="M92">
        <v>0</v>
      </c>
      <c r="N92" s="1" t="s">
        <v>558</v>
      </c>
      <c r="O92">
        <v>77</v>
      </c>
      <c r="P92">
        <v>-2</v>
      </c>
      <c r="Q92">
        <v>-77</v>
      </c>
      <c r="R92">
        <v>90</v>
      </c>
    </row>
    <row r="93" spans="1:19" x14ac:dyDescent="0.3">
      <c r="A93">
        <v>288</v>
      </c>
      <c r="B93" t="s">
        <v>242</v>
      </c>
      <c r="C93">
        <v>66</v>
      </c>
      <c r="D93">
        <v>0</v>
      </c>
      <c r="E93" t="s">
        <v>20</v>
      </c>
      <c r="F93" t="s">
        <v>24</v>
      </c>
      <c r="G93" t="s">
        <v>625</v>
      </c>
      <c r="H93" s="5" t="s">
        <v>243</v>
      </c>
      <c r="I93">
        <v>0</v>
      </c>
      <c r="J93">
        <v>66</v>
      </c>
      <c r="K93">
        <v>0</v>
      </c>
      <c r="L93">
        <v>66</v>
      </c>
      <c r="M93">
        <v>0</v>
      </c>
      <c r="N93" s="7" t="s">
        <v>626</v>
      </c>
      <c r="P93">
        <v>66</v>
      </c>
      <c r="Q93">
        <v>0</v>
      </c>
    </row>
    <row r="94" spans="1:19" x14ac:dyDescent="0.3">
      <c r="A94">
        <v>289</v>
      </c>
      <c r="B94" t="s">
        <v>244</v>
      </c>
      <c r="C94">
        <v>65</v>
      </c>
      <c r="D94">
        <v>0</v>
      </c>
      <c r="E94" t="s">
        <v>20</v>
      </c>
      <c r="F94" t="s">
        <v>24</v>
      </c>
      <c r="G94" t="s">
        <v>546</v>
      </c>
      <c r="H94" s="5" t="s">
        <v>245</v>
      </c>
      <c r="I94">
        <v>0</v>
      </c>
      <c r="J94">
        <v>65</v>
      </c>
      <c r="K94">
        <v>0</v>
      </c>
      <c r="L94">
        <v>65</v>
      </c>
      <c r="M94">
        <v>0</v>
      </c>
      <c r="N94" s="1" t="s">
        <v>555</v>
      </c>
      <c r="O94">
        <v>65</v>
      </c>
      <c r="P94">
        <v>0</v>
      </c>
      <c r="Q94">
        <v>-65</v>
      </c>
      <c r="R94" t="s">
        <v>164</v>
      </c>
    </row>
    <row r="95" spans="1:19" x14ac:dyDescent="0.3">
      <c r="A95">
        <v>290</v>
      </c>
      <c r="B95" t="s">
        <v>246</v>
      </c>
      <c r="C95">
        <v>65</v>
      </c>
      <c r="D95">
        <v>0</v>
      </c>
      <c r="E95" t="s">
        <v>20</v>
      </c>
      <c r="F95" t="s">
        <v>24</v>
      </c>
      <c r="G95" t="s">
        <v>627</v>
      </c>
      <c r="H95" s="5" t="s">
        <v>247</v>
      </c>
      <c r="I95">
        <v>0</v>
      </c>
      <c r="J95">
        <v>65</v>
      </c>
      <c r="K95">
        <v>0</v>
      </c>
      <c r="L95">
        <v>65</v>
      </c>
      <c r="M95">
        <v>0</v>
      </c>
      <c r="N95" s="7" t="s">
        <v>635</v>
      </c>
      <c r="P95">
        <v>65</v>
      </c>
      <c r="Q95">
        <v>0</v>
      </c>
    </row>
    <row r="96" spans="1:19" x14ac:dyDescent="0.3">
      <c r="A96">
        <v>291</v>
      </c>
      <c r="B96" t="s">
        <v>248</v>
      </c>
      <c r="C96">
        <v>59</v>
      </c>
      <c r="D96">
        <v>0</v>
      </c>
      <c r="E96" t="s">
        <v>20</v>
      </c>
      <c r="F96" t="s">
        <v>24</v>
      </c>
      <c r="G96" t="s">
        <v>750</v>
      </c>
      <c r="H96" s="5" t="s">
        <v>249</v>
      </c>
      <c r="I96">
        <v>0</v>
      </c>
      <c r="J96">
        <v>59</v>
      </c>
      <c r="K96">
        <v>0</v>
      </c>
      <c r="L96">
        <v>59</v>
      </c>
      <c r="M96">
        <v>0</v>
      </c>
      <c r="N96" t="s">
        <v>749</v>
      </c>
      <c r="O96">
        <v>59</v>
      </c>
      <c r="P96">
        <v>0</v>
      </c>
      <c r="Q96">
        <v>-59</v>
      </c>
      <c r="R96">
        <v>39</v>
      </c>
    </row>
    <row r="97" spans="1:18" x14ac:dyDescent="0.3">
      <c r="A97">
        <v>292</v>
      </c>
      <c r="B97" t="s">
        <v>250</v>
      </c>
      <c r="C97">
        <v>56</v>
      </c>
      <c r="D97">
        <v>0</v>
      </c>
      <c r="E97" t="s">
        <v>20</v>
      </c>
      <c r="F97" t="s">
        <v>93</v>
      </c>
      <c r="G97" t="s">
        <v>251</v>
      </c>
      <c r="H97" s="5">
        <v>1829963</v>
      </c>
      <c r="I97">
        <v>0</v>
      </c>
      <c r="J97">
        <v>116</v>
      </c>
      <c r="K97">
        <v>0</v>
      </c>
      <c r="L97">
        <v>56</v>
      </c>
      <c r="M97">
        <v>0</v>
      </c>
      <c r="N97" s="1" t="s">
        <v>559</v>
      </c>
      <c r="O97">
        <v>116</v>
      </c>
      <c r="P97">
        <v>0</v>
      </c>
      <c r="Q97">
        <v>-116</v>
      </c>
      <c r="R97">
        <v>90</v>
      </c>
    </row>
    <row r="98" spans="1:18" x14ac:dyDescent="0.3">
      <c r="A98">
        <v>293</v>
      </c>
      <c r="B98" t="s">
        <v>252</v>
      </c>
      <c r="C98">
        <v>52</v>
      </c>
      <c r="D98">
        <v>0</v>
      </c>
      <c r="E98" t="s">
        <v>20</v>
      </c>
      <c r="G98" t="s">
        <v>253</v>
      </c>
      <c r="H98" s="5" t="s">
        <v>254</v>
      </c>
      <c r="I98">
        <v>0</v>
      </c>
      <c r="J98">
        <v>0</v>
      </c>
      <c r="K98">
        <v>0</v>
      </c>
      <c r="L98">
        <v>52</v>
      </c>
      <c r="M98">
        <v>0</v>
      </c>
      <c r="N98" t="s">
        <v>764</v>
      </c>
      <c r="P98">
        <v>0</v>
      </c>
      <c r="Q98">
        <v>0</v>
      </c>
    </row>
    <row r="99" spans="1:18" x14ac:dyDescent="0.3">
      <c r="A99">
        <v>294</v>
      </c>
      <c r="B99" t="s">
        <v>255</v>
      </c>
      <c r="C99">
        <v>77</v>
      </c>
      <c r="D99">
        <v>0</v>
      </c>
      <c r="E99" t="s">
        <v>20</v>
      </c>
      <c r="F99" t="s">
        <v>24</v>
      </c>
      <c r="G99" t="s">
        <v>526</v>
      </c>
      <c r="H99" t="s">
        <v>256</v>
      </c>
      <c r="I99">
        <v>0</v>
      </c>
      <c r="J99">
        <v>50</v>
      </c>
      <c r="K99">
        <v>25</v>
      </c>
      <c r="L99">
        <v>77</v>
      </c>
      <c r="M99">
        <v>0</v>
      </c>
      <c r="N99" t="s">
        <v>525</v>
      </c>
      <c r="O99">
        <v>84</v>
      </c>
      <c r="P99">
        <v>-34</v>
      </c>
      <c r="Q99">
        <v>-59</v>
      </c>
      <c r="R99">
        <v>94</v>
      </c>
    </row>
    <row r="100" spans="1:18" x14ac:dyDescent="0.3">
      <c r="A100">
        <v>295</v>
      </c>
      <c r="B100" t="s">
        <v>257</v>
      </c>
      <c r="C100">
        <v>51</v>
      </c>
      <c r="D100">
        <v>0</v>
      </c>
      <c r="E100" t="s">
        <v>20</v>
      </c>
      <c r="F100" t="s">
        <v>93</v>
      </c>
      <c r="G100" t="s">
        <v>711</v>
      </c>
      <c r="H100" s="5" t="s">
        <v>258</v>
      </c>
      <c r="I100">
        <v>0</v>
      </c>
      <c r="J100">
        <v>50</v>
      </c>
      <c r="K100">
        <v>0</v>
      </c>
      <c r="L100">
        <v>51</v>
      </c>
      <c r="M100">
        <v>0</v>
      </c>
      <c r="N100" t="s">
        <v>710</v>
      </c>
      <c r="P100">
        <v>50</v>
      </c>
      <c r="Q100">
        <v>0</v>
      </c>
    </row>
    <row r="101" spans="1:18" x14ac:dyDescent="0.3">
      <c r="A101">
        <v>296</v>
      </c>
      <c r="B101" t="s">
        <v>259</v>
      </c>
      <c r="C101">
        <v>49</v>
      </c>
      <c r="D101">
        <v>0</v>
      </c>
      <c r="E101" t="s">
        <v>20</v>
      </c>
      <c r="F101" t="s">
        <v>93</v>
      </c>
      <c r="G101" t="s">
        <v>260</v>
      </c>
      <c r="H101" s="5">
        <v>1829989</v>
      </c>
      <c r="I101">
        <v>0</v>
      </c>
      <c r="J101">
        <v>49</v>
      </c>
      <c r="K101">
        <v>0</v>
      </c>
      <c r="L101">
        <v>49</v>
      </c>
      <c r="M101">
        <v>0</v>
      </c>
      <c r="N101" s="1" t="s">
        <v>560</v>
      </c>
      <c r="O101">
        <v>49</v>
      </c>
      <c r="P101">
        <v>0</v>
      </c>
      <c r="Q101">
        <v>-49</v>
      </c>
      <c r="R101">
        <v>90</v>
      </c>
    </row>
    <row r="102" spans="1:18" x14ac:dyDescent="0.3">
      <c r="A102">
        <v>297</v>
      </c>
      <c r="B102" t="s">
        <v>261</v>
      </c>
      <c r="C102">
        <v>48</v>
      </c>
      <c r="D102">
        <v>0</v>
      </c>
      <c r="E102" t="s">
        <v>20</v>
      </c>
      <c r="F102" t="s">
        <v>93</v>
      </c>
      <c r="G102" t="s">
        <v>262</v>
      </c>
      <c r="H102" s="5" t="s">
        <v>263</v>
      </c>
      <c r="I102">
        <v>0</v>
      </c>
      <c r="J102">
        <v>48</v>
      </c>
      <c r="K102">
        <v>0</v>
      </c>
      <c r="L102">
        <v>48</v>
      </c>
      <c r="M102">
        <v>0</v>
      </c>
      <c r="N102" t="s">
        <v>714</v>
      </c>
      <c r="O102">
        <v>48</v>
      </c>
      <c r="P102">
        <v>0</v>
      </c>
      <c r="Q102">
        <v>-48</v>
      </c>
      <c r="R102">
        <v>90</v>
      </c>
    </row>
    <row r="103" spans="1:18" x14ac:dyDescent="0.3">
      <c r="A103">
        <v>298</v>
      </c>
      <c r="B103" t="s">
        <v>264</v>
      </c>
      <c r="C103">
        <v>42</v>
      </c>
      <c r="D103">
        <v>0</v>
      </c>
      <c r="E103" t="s">
        <v>20</v>
      </c>
      <c r="F103" t="s">
        <v>24</v>
      </c>
      <c r="G103" t="s">
        <v>265</v>
      </c>
      <c r="H103" s="5" t="s">
        <v>266</v>
      </c>
      <c r="I103">
        <v>0</v>
      </c>
      <c r="J103">
        <v>42</v>
      </c>
      <c r="K103">
        <v>0</v>
      </c>
      <c r="L103">
        <v>42</v>
      </c>
      <c r="M103">
        <v>0</v>
      </c>
      <c r="N103" t="s">
        <v>660</v>
      </c>
      <c r="P103">
        <v>42</v>
      </c>
      <c r="Q103">
        <v>0</v>
      </c>
    </row>
    <row r="104" spans="1:18" x14ac:dyDescent="0.3">
      <c r="A104">
        <v>299</v>
      </c>
      <c r="B104" t="s">
        <v>267</v>
      </c>
      <c r="C104">
        <v>41</v>
      </c>
      <c r="D104">
        <v>0</v>
      </c>
      <c r="E104" t="s">
        <v>20</v>
      </c>
      <c r="F104" t="s">
        <v>24</v>
      </c>
      <c r="G104" t="s">
        <v>662</v>
      </c>
      <c r="H104" s="5" t="s">
        <v>268</v>
      </c>
      <c r="I104">
        <v>0</v>
      </c>
      <c r="J104">
        <v>41</v>
      </c>
      <c r="K104">
        <v>0</v>
      </c>
      <c r="L104">
        <v>41</v>
      </c>
      <c r="M104">
        <v>0</v>
      </c>
      <c r="N104" t="s">
        <v>661</v>
      </c>
      <c r="P104">
        <v>41</v>
      </c>
      <c r="Q104">
        <v>0</v>
      </c>
    </row>
    <row r="105" spans="1:18" x14ac:dyDescent="0.3">
      <c r="A105">
        <v>300</v>
      </c>
      <c r="B105" t="s">
        <v>269</v>
      </c>
      <c r="C105">
        <v>36</v>
      </c>
      <c r="D105">
        <v>0</v>
      </c>
      <c r="E105" t="s">
        <v>20</v>
      </c>
      <c r="F105" t="s">
        <v>24</v>
      </c>
      <c r="G105" t="s">
        <v>537</v>
      </c>
      <c r="H105" s="5" t="s">
        <v>270</v>
      </c>
      <c r="I105">
        <v>0</v>
      </c>
      <c r="J105">
        <v>36</v>
      </c>
      <c r="K105">
        <v>0</v>
      </c>
      <c r="L105">
        <v>36</v>
      </c>
      <c r="M105">
        <v>0</v>
      </c>
      <c r="N105" s="1" t="s">
        <v>543</v>
      </c>
      <c r="O105">
        <v>37</v>
      </c>
      <c r="P105">
        <v>-1</v>
      </c>
      <c r="Q105">
        <v>-37</v>
      </c>
      <c r="R105">
        <v>39</v>
      </c>
    </row>
    <row r="106" spans="1:18" x14ac:dyDescent="0.3">
      <c r="A106">
        <v>301</v>
      </c>
      <c r="B106" t="s">
        <v>271</v>
      </c>
      <c r="C106">
        <v>32</v>
      </c>
      <c r="D106">
        <v>0</v>
      </c>
      <c r="E106" t="s">
        <v>20</v>
      </c>
      <c r="F106" t="s">
        <v>24</v>
      </c>
      <c r="G106" t="s">
        <v>658</v>
      </c>
      <c r="H106" t="s">
        <v>272</v>
      </c>
      <c r="I106">
        <v>0</v>
      </c>
      <c r="J106">
        <v>0</v>
      </c>
      <c r="K106">
        <v>0</v>
      </c>
      <c r="L106">
        <v>32</v>
      </c>
      <c r="M106">
        <v>0</v>
      </c>
      <c r="N106" t="s">
        <v>659</v>
      </c>
      <c r="O106">
        <v>32</v>
      </c>
      <c r="P106">
        <v>-32</v>
      </c>
      <c r="Q106">
        <v>-32</v>
      </c>
      <c r="R106">
        <v>39</v>
      </c>
    </row>
    <row r="107" spans="1:18" x14ac:dyDescent="0.3">
      <c r="A107">
        <v>302</v>
      </c>
      <c r="B107" t="s">
        <v>273</v>
      </c>
      <c r="C107">
        <v>31</v>
      </c>
      <c r="D107">
        <v>0</v>
      </c>
      <c r="E107" t="s">
        <v>20</v>
      </c>
      <c r="F107" t="s">
        <v>24</v>
      </c>
      <c r="G107" t="s">
        <v>274</v>
      </c>
      <c r="H107" s="5" t="s">
        <v>275</v>
      </c>
      <c r="I107">
        <v>0</v>
      </c>
      <c r="J107">
        <v>31</v>
      </c>
      <c r="K107">
        <v>0</v>
      </c>
      <c r="L107">
        <v>31</v>
      </c>
      <c r="M107">
        <v>0</v>
      </c>
      <c r="N107" s="1" t="s">
        <v>587</v>
      </c>
      <c r="O107">
        <v>30</v>
      </c>
      <c r="P107">
        <v>1</v>
      </c>
      <c r="Q107">
        <v>-30</v>
      </c>
      <c r="R107">
        <v>39</v>
      </c>
    </row>
    <row r="108" spans="1:18" x14ac:dyDescent="0.3">
      <c r="A108">
        <v>303</v>
      </c>
      <c r="B108" t="s">
        <v>276</v>
      </c>
      <c r="C108">
        <v>31</v>
      </c>
      <c r="D108">
        <v>0</v>
      </c>
      <c r="E108" t="s">
        <v>20</v>
      </c>
      <c r="F108" t="s">
        <v>24</v>
      </c>
      <c r="G108" t="s">
        <v>536</v>
      </c>
      <c r="H108" s="5" t="s">
        <v>277</v>
      </c>
      <c r="I108">
        <v>0</v>
      </c>
      <c r="J108">
        <v>31</v>
      </c>
      <c r="K108">
        <v>0</v>
      </c>
      <c r="L108">
        <v>31</v>
      </c>
      <c r="M108">
        <v>0</v>
      </c>
      <c r="N108" s="1" t="s">
        <v>544</v>
      </c>
      <c r="O108">
        <v>32</v>
      </c>
      <c r="P108">
        <v>-1</v>
      </c>
      <c r="Q108">
        <v>-32</v>
      </c>
      <c r="R108">
        <v>39</v>
      </c>
    </row>
    <row r="109" spans="1:18" x14ac:dyDescent="0.3">
      <c r="A109">
        <v>304</v>
      </c>
      <c r="B109" t="s">
        <v>278</v>
      </c>
      <c r="C109">
        <v>28</v>
      </c>
      <c r="D109">
        <v>0</v>
      </c>
      <c r="E109" t="s">
        <v>20</v>
      </c>
      <c r="F109" t="s">
        <v>24</v>
      </c>
      <c r="G109" t="s">
        <v>677</v>
      </c>
      <c r="H109" s="5" t="s">
        <v>279</v>
      </c>
      <c r="I109">
        <v>0</v>
      </c>
      <c r="J109">
        <v>28</v>
      </c>
      <c r="K109">
        <v>0</v>
      </c>
      <c r="L109">
        <v>28</v>
      </c>
      <c r="M109">
        <v>0</v>
      </c>
      <c r="N109" t="s">
        <v>679</v>
      </c>
      <c r="O109">
        <v>28</v>
      </c>
      <c r="P109">
        <v>0</v>
      </c>
      <c r="Q109">
        <v>-28</v>
      </c>
      <c r="R109">
        <v>39</v>
      </c>
    </row>
    <row r="110" spans="1:18" x14ac:dyDescent="0.3">
      <c r="A110">
        <v>305</v>
      </c>
      <c r="B110" t="s">
        <v>280</v>
      </c>
      <c r="C110">
        <v>27</v>
      </c>
      <c r="D110">
        <v>0</v>
      </c>
      <c r="E110" t="s">
        <v>20</v>
      </c>
      <c r="F110" t="s">
        <v>24</v>
      </c>
      <c r="G110" t="s">
        <v>678</v>
      </c>
      <c r="H110" s="5" t="s">
        <v>281</v>
      </c>
      <c r="I110">
        <v>0</v>
      </c>
      <c r="J110">
        <v>27</v>
      </c>
      <c r="K110">
        <v>0</v>
      </c>
      <c r="L110">
        <v>27</v>
      </c>
      <c r="M110">
        <v>0</v>
      </c>
      <c r="N110" t="s">
        <v>680</v>
      </c>
      <c r="O110">
        <v>28</v>
      </c>
      <c r="P110">
        <v>-1</v>
      </c>
      <c r="Q110">
        <v>-28</v>
      </c>
      <c r="R110">
        <v>39</v>
      </c>
    </row>
    <row r="111" spans="1:18" x14ac:dyDescent="0.3">
      <c r="A111">
        <v>306</v>
      </c>
      <c r="B111" t="s">
        <v>282</v>
      </c>
      <c r="C111">
        <v>25</v>
      </c>
      <c r="D111">
        <v>0</v>
      </c>
      <c r="E111" t="s">
        <v>20</v>
      </c>
      <c r="F111" t="s">
        <v>93</v>
      </c>
      <c r="G111" t="s">
        <v>283</v>
      </c>
      <c r="H111" s="5" t="s">
        <v>284</v>
      </c>
      <c r="I111">
        <v>0</v>
      </c>
      <c r="J111">
        <v>25</v>
      </c>
      <c r="K111">
        <v>0</v>
      </c>
      <c r="L111">
        <v>25</v>
      </c>
      <c r="M111">
        <v>0</v>
      </c>
      <c r="N111" t="s">
        <v>742</v>
      </c>
      <c r="O111">
        <v>25</v>
      </c>
      <c r="P111">
        <v>0</v>
      </c>
      <c r="Q111">
        <v>-25</v>
      </c>
      <c r="R111">
        <v>90</v>
      </c>
    </row>
    <row r="112" spans="1:18" x14ac:dyDescent="0.3">
      <c r="A112">
        <v>307</v>
      </c>
      <c r="B112" t="s">
        <v>285</v>
      </c>
      <c r="C112">
        <v>25</v>
      </c>
      <c r="D112">
        <v>0</v>
      </c>
      <c r="E112" t="s">
        <v>20</v>
      </c>
      <c r="F112" t="s">
        <v>93</v>
      </c>
      <c r="G112" t="s">
        <v>564</v>
      </c>
      <c r="H112" s="5">
        <v>1727036</v>
      </c>
      <c r="I112">
        <v>0</v>
      </c>
      <c r="J112">
        <v>25</v>
      </c>
      <c r="K112">
        <v>0</v>
      </c>
      <c r="L112">
        <v>25</v>
      </c>
      <c r="M112">
        <v>0</v>
      </c>
      <c r="N112" s="1" t="s">
        <v>565</v>
      </c>
      <c r="O112">
        <v>25</v>
      </c>
      <c r="P112">
        <v>0</v>
      </c>
      <c r="Q112">
        <v>-25</v>
      </c>
      <c r="R112">
        <v>90</v>
      </c>
    </row>
    <row r="113" spans="1:19" x14ac:dyDescent="0.3">
      <c r="A113">
        <v>308</v>
      </c>
      <c r="B113" t="s">
        <v>286</v>
      </c>
      <c r="C113">
        <v>24</v>
      </c>
      <c r="D113">
        <v>0</v>
      </c>
      <c r="E113" t="s">
        <v>20</v>
      </c>
      <c r="F113" t="s">
        <v>93</v>
      </c>
      <c r="G113" t="s">
        <v>744</v>
      </c>
      <c r="H113" s="5" t="s">
        <v>287</v>
      </c>
      <c r="I113">
        <v>0</v>
      </c>
      <c r="J113">
        <v>24</v>
      </c>
      <c r="K113">
        <v>0</v>
      </c>
      <c r="L113">
        <v>24</v>
      </c>
      <c r="M113">
        <v>0</v>
      </c>
      <c r="N113" t="s">
        <v>743</v>
      </c>
      <c r="O113">
        <v>15</v>
      </c>
      <c r="P113">
        <v>9</v>
      </c>
      <c r="Q113">
        <v>-15</v>
      </c>
      <c r="R113">
        <v>30</v>
      </c>
      <c r="S113">
        <v>2</v>
      </c>
    </row>
    <row r="114" spans="1:19" x14ac:dyDescent="0.3">
      <c r="A114">
        <v>309</v>
      </c>
      <c r="B114" t="s">
        <v>288</v>
      </c>
      <c r="C114">
        <v>24</v>
      </c>
      <c r="D114">
        <v>0</v>
      </c>
      <c r="E114" t="s">
        <v>20</v>
      </c>
      <c r="F114" t="s">
        <v>24</v>
      </c>
      <c r="G114" t="s">
        <v>746</v>
      </c>
      <c r="H114" s="5" t="s">
        <v>289</v>
      </c>
      <c r="I114">
        <v>0</v>
      </c>
      <c r="J114">
        <v>24</v>
      </c>
      <c r="K114">
        <v>0</v>
      </c>
      <c r="L114">
        <v>24</v>
      </c>
      <c r="M114">
        <v>0</v>
      </c>
      <c r="N114" t="s">
        <v>745</v>
      </c>
      <c r="O114">
        <v>25</v>
      </c>
      <c r="P114">
        <v>-1</v>
      </c>
      <c r="Q114">
        <v>-25</v>
      </c>
      <c r="R114">
        <v>39</v>
      </c>
    </row>
    <row r="115" spans="1:19" x14ac:dyDescent="0.3">
      <c r="A115">
        <v>311</v>
      </c>
      <c r="B115" t="s">
        <v>290</v>
      </c>
      <c r="C115">
        <v>22</v>
      </c>
      <c r="D115">
        <v>0</v>
      </c>
      <c r="E115" t="s">
        <v>20</v>
      </c>
      <c r="F115" t="s">
        <v>24</v>
      </c>
      <c r="G115" t="s">
        <v>520</v>
      </c>
      <c r="H115" t="s">
        <v>291</v>
      </c>
      <c r="I115">
        <v>0</v>
      </c>
      <c r="J115">
        <v>22</v>
      </c>
      <c r="K115">
        <v>0</v>
      </c>
      <c r="L115">
        <v>22</v>
      </c>
      <c r="M115">
        <v>0</v>
      </c>
      <c r="N115" t="s">
        <v>519</v>
      </c>
      <c r="P115">
        <v>22</v>
      </c>
      <c r="Q115">
        <v>0</v>
      </c>
    </row>
    <row r="116" spans="1:19" x14ac:dyDescent="0.3">
      <c r="A116">
        <v>312</v>
      </c>
      <c r="B116" t="s">
        <v>292</v>
      </c>
      <c r="C116">
        <v>22</v>
      </c>
      <c r="D116">
        <v>0</v>
      </c>
      <c r="E116" t="s">
        <v>20</v>
      </c>
      <c r="F116" t="s">
        <v>24</v>
      </c>
      <c r="G116" t="s">
        <v>529</v>
      </c>
      <c r="H116" t="s">
        <v>293</v>
      </c>
      <c r="I116">
        <v>0</v>
      </c>
      <c r="J116">
        <v>22</v>
      </c>
      <c r="K116">
        <v>0</v>
      </c>
      <c r="L116">
        <v>22</v>
      </c>
      <c r="M116">
        <v>0</v>
      </c>
      <c r="N116" t="s">
        <v>527</v>
      </c>
      <c r="O116">
        <v>28</v>
      </c>
      <c r="P116">
        <v>-6</v>
      </c>
      <c r="Q116">
        <v>-28</v>
      </c>
      <c r="R116">
        <v>94</v>
      </c>
    </row>
    <row r="117" spans="1:19" x14ac:dyDescent="0.3">
      <c r="A117">
        <v>313</v>
      </c>
      <c r="B117" t="s">
        <v>294</v>
      </c>
      <c r="C117">
        <v>22</v>
      </c>
      <c r="D117">
        <v>0</v>
      </c>
      <c r="E117" t="s">
        <v>20</v>
      </c>
      <c r="F117" t="s">
        <v>24</v>
      </c>
      <c r="G117" t="s">
        <v>774</v>
      </c>
      <c r="H117" t="s">
        <v>295</v>
      </c>
      <c r="I117">
        <v>0</v>
      </c>
      <c r="J117">
        <v>22</v>
      </c>
      <c r="K117">
        <v>0</v>
      </c>
      <c r="L117">
        <v>22</v>
      </c>
      <c r="M117">
        <v>0</v>
      </c>
      <c r="N117" s="2" t="s">
        <v>775</v>
      </c>
      <c r="O117">
        <v>22</v>
      </c>
      <c r="P117">
        <v>0</v>
      </c>
      <c r="Q117">
        <v>-22</v>
      </c>
      <c r="R117">
        <v>39</v>
      </c>
    </row>
    <row r="118" spans="1:19" x14ac:dyDescent="0.3">
      <c r="A118">
        <v>314</v>
      </c>
      <c r="B118" t="s">
        <v>296</v>
      </c>
      <c r="C118">
        <v>21</v>
      </c>
      <c r="D118">
        <v>0</v>
      </c>
      <c r="E118" t="s">
        <v>20</v>
      </c>
      <c r="F118" t="s">
        <v>24</v>
      </c>
      <c r="G118" t="s">
        <v>297</v>
      </c>
      <c r="H118" s="5" t="s">
        <v>298</v>
      </c>
      <c r="I118">
        <v>0</v>
      </c>
      <c r="J118">
        <v>21</v>
      </c>
      <c r="K118">
        <v>0</v>
      </c>
      <c r="L118">
        <v>21</v>
      </c>
      <c r="M118">
        <v>0</v>
      </c>
      <c r="N118" s="1" t="s">
        <v>681</v>
      </c>
      <c r="P118">
        <v>21</v>
      </c>
      <c r="Q118">
        <v>0</v>
      </c>
    </row>
    <row r="119" spans="1:19" x14ac:dyDescent="0.3">
      <c r="A119">
        <v>315</v>
      </c>
      <c r="B119" t="s">
        <v>299</v>
      </c>
      <c r="C119">
        <v>19</v>
      </c>
      <c r="D119">
        <v>0</v>
      </c>
      <c r="E119" t="s">
        <v>20</v>
      </c>
      <c r="F119" t="s">
        <v>93</v>
      </c>
      <c r="G119" t="s">
        <v>747</v>
      </c>
      <c r="H119" s="9" t="s">
        <v>300</v>
      </c>
      <c r="I119">
        <v>0</v>
      </c>
      <c r="J119">
        <v>19</v>
      </c>
      <c r="K119">
        <v>0</v>
      </c>
      <c r="L119">
        <v>19</v>
      </c>
      <c r="M119">
        <v>0</v>
      </c>
      <c r="N119" t="s">
        <v>748</v>
      </c>
      <c r="P119">
        <v>19</v>
      </c>
      <c r="Q119">
        <v>0</v>
      </c>
    </row>
    <row r="120" spans="1:19" x14ac:dyDescent="0.3">
      <c r="A120">
        <v>316</v>
      </c>
      <c r="B120" t="s">
        <v>301</v>
      </c>
      <c r="C120">
        <v>43</v>
      </c>
      <c r="D120">
        <v>0</v>
      </c>
      <c r="E120" t="s">
        <v>20</v>
      </c>
      <c r="F120" t="s">
        <v>24</v>
      </c>
      <c r="G120" t="s">
        <v>302</v>
      </c>
      <c r="H120" s="5" t="s">
        <v>666</v>
      </c>
      <c r="I120">
        <v>0</v>
      </c>
      <c r="J120">
        <v>105</v>
      </c>
      <c r="K120">
        <v>25</v>
      </c>
      <c r="L120">
        <v>43</v>
      </c>
      <c r="M120">
        <v>0</v>
      </c>
      <c r="N120" t="s">
        <v>667</v>
      </c>
      <c r="O120">
        <v>105</v>
      </c>
      <c r="P120">
        <v>0</v>
      </c>
      <c r="Q120">
        <v>-80</v>
      </c>
      <c r="R120">
        <v>30</v>
      </c>
      <c r="S120">
        <v>2</v>
      </c>
    </row>
    <row r="121" spans="1:19" x14ac:dyDescent="0.3">
      <c r="A121">
        <v>317</v>
      </c>
      <c r="B121" t="s">
        <v>303</v>
      </c>
      <c r="C121">
        <v>17</v>
      </c>
      <c r="D121">
        <v>0</v>
      </c>
      <c r="E121" t="s">
        <v>20</v>
      </c>
      <c r="F121" t="s">
        <v>24</v>
      </c>
      <c r="G121" t="s">
        <v>547</v>
      </c>
      <c r="H121" s="5" t="s">
        <v>304</v>
      </c>
      <c r="I121">
        <v>0</v>
      </c>
      <c r="J121">
        <v>17</v>
      </c>
      <c r="K121">
        <v>0</v>
      </c>
      <c r="L121">
        <v>17</v>
      </c>
      <c r="M121">
        <v>0</v>
      </c>
      <c r="N121" s="1" t="s">
        <v>554</v>
      </c>
      <c r="O121">
        <v>24</v>
      </c>
      <c r="P121">
        <v>-7</v>
      </c>
      <c r="Q121">
        <v>-24</v>
      </c>
      <c r="R121">
        <v>39</v>
      </c>
    </row>
    <row r="122" spans="1:19" x14ac:dyDescent="0.3">
      <c r="A122">
        <v>318</v>
      </c>
      <c r="B122" t="s">
        <v>305</v>
      </c>
      <c r="C122">
        <v>16</v>
      </c>
      <c r="D122">
        <v>0</v>
      </c>
      <c r="E122" t="s">
        <v>20</v>
      </c>
      <c r="F122" t="s">
        <v>24</v>
      </c>
      <c r="G122" t="s">
        <v>530</v>
      </c>
      <c r="H122" t="s">
        <v>306</v>
      </c>
      <c r="I122">
        <v>0</v>
      </c>
      <c r="J122">
        <v>16</v>
      </c>
      <c r="K122">
        <v>0</v>
      </c>
      <c r="L122">
        <v>16</v>
      </c>
      <c r="M122">
        <v>0</v>
      </c>
      <c r="N122" t="s">
        <v>528</v>
      </c>
      <c r="O122">
        <v>17</v>
      </c>
      <c r="P122">
        <v>-1</v>
      </c>
      <c r="Q122">
        <v>-17</v>
      </c>
      <c r="R122">
        <v>29</v>
      </c>
      <c r="S122">
        <v>2</v>
      </c>
    </row>
    <row r="123" spans="1:19" x14ac:dyDescent="0.3">
      <c r="A123">
        <v>319</v>
      </c>
      <c r="B123" t="s">
        <v>307</v>
      </c>
      <c r="C123">
        <v>15</v>
      </c>
      <c r="D123">
        <v>0</v>
      </c>
      <c r="E123" t="s">
        <v>20</v>
      </c>
      <c r="F123" t="s">
        <v>93</v>
      </c>
      <c r="G123" t="s">
        <v>308</v>
      </c>
      <c r="H123" s="5" t="s">
        <v>309</v>
      </c>
      <c r="I123">
        <v>0</v>
      </c>
      <c r="J123">
        <v>0</v>
      </c>
      <c r="K123">
        <v>0</v>
      </c>
      <c r="L123">
        <v>15</v>
      </c>
      <c r="M123">
        <v>0</v>
      </c>
      <c r="P123">
        <v>0</v>
      </c>
      <c r="Q123">
        <v>0</v>
      </c>
    </row>
    <row r="124" spans="1:19" x14ac:dyDescent="0.3">
      <c r="A124">
        <v>320</v>
      </c>
      <c r="B124" t="s">
        <v>310</v>
      </c>
      <c r="C124">
        <v>14</v>
      </c>
      <c r="D124">
        <v>0</v>
      </c>
      <c r="E124" t="s">
        <v>20</v>
      </c>
      <c r="F124" t="s">
        <v>24</v>
      </c>
      <c r="G124" t="s">
        <v>311</v>
      </c>
      <c r="H124" s="5" t="s">
        <v>312</v>
      </c>
      <c r="I124">
        <v>0</v>
      </c>
      <c r="J124">
        <v>14</v>
      </c>
      <c r="K124">
        <v>0</v>
      </c>
      <c r="L124">
        <v>14</v>
      </c>
      <c r="M124">
        <v>0</v>
      </c>
      <c r="N124" t="s">
        <v>765</v>
      </c>
      <c r="O124">
        <v>7</v>
      </c>
      <c r="P124">
        <v>7</v>
      </c>
      <c r="Q124">
        <v>-7</v>
      </c>
      <c r="R124">
        <v>92</v>
      </c>
    </row>
    <row r="125" spans="1:19" x14ac:dyDescent="0.3">
      <c r="A125">
        <v>322</v>
      </c>
      <c r="B125" t="s">
        <v>313</v>
      </c>
      <c r="C125">
        <v>13</v>
      </c>
      <c r="D125">
        <v>0</v>
      </c>
      <c r="E125" t="s">
        <v>20</v>
      </c>
      <c r="F125" t="s">
        <v>93</v>
      </c>
      <c r="G125" t="s">
        <v>698</v>
      </c>
      <c r="H125" s="5" t="s">
        <v>314</v>
      </c>
      <c r="I125">
        <v>0</v>
      </c>
      <c r="J125">
        <v>13</v>
      </c>
      <c r="K125">
        <v>0</v>
      </c>
      <c r="L125">
        <v>13</v>
      </c>
      <c r="M125">
        <v>0</v>
      </c>
      <c r="N125" t="s">
        <v>732</v>
      </c>
      <c r="O125">
        <v>13</v>
      </c>
      <c r="P125">
        <v>0</v>
      </c>
      <c r="Q125">
        <v>-13</v>
      </c>
      <c r="R125">
        <v>90</v>
      </c>
    </row>
    <row r="126" spans="1:19" x14ac:dyDescent="0.3">
      <c r="A126">
        <v>323</v>
      </c>
      <c r="B126" t="s">
        <v>315</v>
      </c>
      <c r="C126">
        <v>12</v>
      </c>
      <c r="D126">
        <v>0</v>
      </c>
      <c r="E126" t="s">
        <v>20</v>
      </c>
      <c r="F126" t="s">
        <v>93</v>
      </c>
      <c r="G126" t="s">
        <v>316</v>
      </c>
      <c r="H126" s="5" t="s">
        <v>317</v>
      </c>
      <c r="I126">
        <v>0</v>
      </c>
      <c r="J126">
        <v>12</v>
      </c>
      <c r="K126">
        <v>0</v>
      </c>
      <c r="L126">
        <v>12</v>
      </c>
      <c r="M126">
        <v>0</v>
      </c>
      <c r="N126" s="3" t="s">
        <v>776</v>
      </c>
      <c r="O126">
        <v>12</v>
      </c>
      <c r="P126">
        <v>0</v>
      </c>
      <c r="Q126">
        <v>-12</v>
      </c>
      <c r="R126">
        <v>92</v>
      </c>
    </row>
    <row r="127" spans="1:19" x14ac:dyDescent="0.3">
      <c r="A127">
        <v>324</v>
      </c>
      <c r="B127" t="s">
        <v>318</v>
      </c>
      <c r="C127">
        <v>11</v>
      </c>
      <c r="D127">
        <v>0</v>
      </c>
      <c r="E127" t="s">
        <v>20</v>
      </c>
      <c r="F127" t="s">
        <v>93</v>
      </c>
      <c r="G127" t="s">
        <v>568</v>
      </c>
      <c r="H127" s="5">
        <v>1615690000</v>
      </c>
      <c r="I127">
        <v>0</v>
      </c>
      <c r="J127">
        <v>12</v>
      </c>
      <c r="K127">
        <v>0</v>
      </c>
      <c r="L127">
        <v>11</v>
      </c>
      <c r="M127">
        <v>0</v>
      </c>
      <c r="N127" s="1" t="s">
        <v>567</v>
      </c>
      <c r="O127">
        <v>12</v>
      </c>
      <c r="P127">
        <v>0</v>
      </c>
      <c r="Q127">
        <v>-12</v>
      </c>
      <c r="R127">
        <v>90</v>
      </c>
    </row>
    <row r="128" spans="1:19" x14ac:dyDescent="0.3">
      <c r="A128">
        <v>325</v>
      </c>
      <c r="B128" t="s">
        <v>319</v>
      </c>
      <c r="C128">
        <v>10</v>
      </c>
      <c r="D128">
        <v>0</v>
      </c>
      <c r="E128" t="s">
        <v>20</v>
      </c>
      <c r="F128" t="s">
        <v>93</v>
      </c>
      <c r="G128" t="s">
        <v>320</v>
      </c>
      <c r="H128" s="5" t="s">
        <v>321</v>
      </c>
      <c r="I128">
        <v>0</v>
      </c>
      <c r="J128">
        <v>10</v>
      </c>
      <c r="K128">
        <v>0</v>
      </c>
      <c r="L128">
        <v>10</v>
      </c>
      <c r="M128">
        <v>0</v>
      </c>
      <c r="N128" t="s">
        <v>751</v>
      </c>
      <c r="O128">
        <v>10</v>
      </c>
      <c r="P128">
        <v>0</v>
      </c>
      <c r="Q128">
        <v>-10</v>
      </c>
      <c r="R128">
        <v>92</v>
      </c>
    </row>
    <row r="129" spans="1:18" x14ac:dyDescent="0.3">
      <c r="A129">
        <v>327</v>
      </c>
      <c r="B129" t="s">
        <v>322</v>
      </c>
      <c r="C129">
        <v>9</v>
      </c>
      <c r="D129">
        <v>0</v>
      </c>
      <c r="E129" t="s">
        <v>20</v>
      </c>
      <c r="F129" t="s">
        <v>93</v>
      </c>
      <c r="G129" t="s">
        <v>704</v>
      </c>
      <c r="H129" s="5" t="s">
        <v>323</v>
      </c>
      <c r="I129">
        <v>0</v>
      </c>
      <c r="J129">
        <v>159</v>
      </c>
      <c r="K129">
        <v>0</v>
      </c>
      <c r="L129">
        <v>9</v>
      </c>
      <c r="M129">
        <v>0</v>
      </c>
      <c r="N129" t="s">
        <v>703</v>
      </c>
      <c r="P129">
        <v>159</v>
      </c>
      <c r="Q129">
        <v>0</v>
      </c>
    </row>
    <row r="130" spans="1:18" x14ac:dyDescent="0.3">
      <c r="A130">
        <v>328</v>
      </c>
      <c r="B130" t="s">
        <v>324</v>
      </c>
      <c r="C130">
        <v>9</v>
      </c>
      <c r="D130">
        <v>0</v>
      </c>
      <c r="E130" t="s">
        <v>20</v>
      </c>
      <c r="F130" t="s">
        <v>24</v>
      </c>
      <c r="G130" t="s">
        <v>628</v>
      </c>
      <c r="H130" s="5" t="s">
        <v>325</v>
      </c>
      <c r="I130">
        <v>0</v>
      </c>
      <c r="J130">
        <v>9</v>
      </c>
      <c r="K130">
        <v>0</v>
      </c>
      <c r="L130">
        <v>9</v>
      </c>
      <c r="M130">
        <v>0</v>
      </c>
      <c r="N130" s="7" t="s">
        <v>636</v>
      </c>
      <c r="P130">
        <v>9</v>
      </c>
      <c r="Q130">
        <v>0</v>
      </c>
    </row>
    <row r="131" spans="1:18" x14ac:dyDescent="0.3">
      <c r="A131">
        <v>329</v>
      </c>
      <c r="B131" t="s">
        <v>326</v>
      </c>
      <c r="C131">
        <v>9</v>
      </c>
      <c r="D131">
        <v>0</v>
      </c>
      <c r="E131" t="s">
        <v>20</v>
      </c>
      <c r="F131" t="s">
        <v>93</v>
      </c>
      <c r="G131" t="s">
        <v>548</v>
      </c>
      <c r="H131" s="5" t="s">
        <v>327</v>
      </c>
      <c r="I131">
        <v>0</v>
      </c>
      <c r="J131">
        <v>4</v>
      </c>
      <c r="K131">
        <v>0</v>
      </c>
      <c r="L131">
        <v>9</v>
      </c>
      <c r="M131">
        <v>0</v>
      </c>
      <c r="N131" s="1" t="s">
        <v>551</v>
      </c>
      <c r="O131">
        <v>4</v>
      </c>
      <c r="P131">
        <v>0</v>
      </c>
      <c r="Q131">
        <v>-4</v>
      </c>
      <c r="R131">
        <v>90</v>
      </c>
    </row>
    <row r="132" spans="1:18" x14ac:dyDescent="0.3">
      <c r="A132">
        <v>330</v>
      </c>
      <c r="B132" t="s">
        <v>328</v>
      </c>
      <c r="C132">
        <v>8</v>
      </c>
      <c r="D132">
        <v>0</v>
      </c>
      <c r="E132" t="s">
        <v>20</v>
      </c>
      <c r="F132" t="s">
        <v>24</v>
      </c>
      <c r="G132" t="s">
        <v>549</v>
      </c>
      <c r="H132" s="5" t="s">
        <v>329</v>
      </c>
      <c r="I132">
        <v>0</v>
      </c>
      <c r="J132">
        <v>8</v>
      </c>
      <c r="K132">
        <v>0</v>
      </c>
      <c r="L132">
        <v>8</v>
      </c>
      <c r="M132">
        <v>0</v>
      </c>
      <c r="N132" s="1" t="s">
        <v>552</v>
      </c>
      <c r="O132">
        <v>8</v>
      </c>
      <c r="P132">
        <v>0</v>
      </c>
      <c r="Q132">
        <v>-8</v>
      </c>
      <c r="R132">
        <v>39</v>
      </c>
    </row>
    <row r="133" spans="1:18" x14ac:dyDescent="0.3">
      <c r="A133">
        <v>331</v>
      </c>
      <c r="B133" t="s">
        <v>330</v>
      </c>
      <c r="C133">
        <v>8</v>
      </c>
      <c r="D133">
        <v>0</v>
      </c>
      <c r="E133" t="s">
        <v>20</v>
      </c>
      <c r="F133" t="s">
        <v>93</v>
      </c>
      <c r="G133" t="s">
        <v>331</v>
      </c>
      <c r="H133" s="5">
        <v>1149400000</v>
      </c>
      <c r="I133">
        <v>0</v>
      </c>
      <c r="J133">
        <v>8</v>
      </c>
      <c r="K133">
        <v>0</v>
      </c>
      <c r="L133">
        <v>8</v>
      </c>
      <c r="M133">
        <v>0</v>
      </c>
      <c r="N133" s="1" t="s">
        <v>578</v>
      </c>
      <c r="O133">
        <v>8</v>
      </c>
      <c r="P133">
        <v>0</v>
      </c>
      <c r="Q133">
        <v>-8</v>
      </c>
      <c r="R133">
        <v>90</v>
      </c>
    </row>
    <row r="134" spans="1:18" x14ac:dyDescent="0.3">
      <c r="A134">
        <v>332</v>
      </c>
      <c r="B134" s="1" t="s">
        <v>332</v>
      </c>
      <c r="C134">
        <v>7</v>
      </c>
      <c r="D134">
        <v>0</v>
      </c>
      <c r="E134" t="s">
        <v>20</v>
      </c>
      <c r="F134" t="s">
        <v>93</v>
      </c>
      <c r="G134" t="s">
        <v>333</v>
      </c>
      <c r="H134" s="5" t="s">
        <v>334</v>
      </c>
      <c r="I134">
        <v>0</v>
      </c>
      <c r="J134">
        <v>7</v>
      </c>
      <c r="K134">
        <v>0</v>
      </c>
      <c r="L134">
        <v>7</v>
      </c>
      <c r="M134">
        <v>0</v>
      </c>
      <c r="N134">
        <f>_xlfn.XLOOKUP(B134,[1]Sheet1!$B$1:$B$195,[1]Sheet1!$N$1:$N$195)</f>
        <v>0</v>
      </c>
      <c r="O134">
        <v>7</v>
      </c>
      <c r="P134">
        <v>0</v>
      </c>
      <c r="Q134">
        <v>-7</v>
      </c>
      <c r="R134">
        <v>90</v>
      </c>
    </row>
    <row r="135" spans="1:18" x14ac:dyDescent="0.3">
      <c r="A135">
        <v>333</v>
      </c>
      <c r="B135" t="s">
        <v>335</v>
      </c>
      <c r="C135">
        <v>7</v>
      </c>
      <c r="D135">
        <v>0</v>
      </c>
      <c r="E135" t="s">
        <v>20</v>
      </c>
      <c r="F135" t="s">
        <v>93</v>
      </c>
      <c r="G135" t="s">
        <v>569</v>
      </c>
      <c r="H135" s="5">
        <v>1615700000</v>
      </c>
      <c r="I135">
        <v>0</v>
      </c>
      <c r="J135">
        <v>7</v>
      </c>
      <c r="K135">
        <v>0</v>
      </c>
      <c r="L135">
        <v>7</v>
      </c>
      <c r="M135">
        <v>0</v>
      </c>
      <c r="N135" s="1" t="s">
        <v>570</v>
      </c>
      <c r="O135">
        <v>7</v>
      </c>
      <c r="P135">
        <v>0</v>
      </c>
      <c r="Q135">
        <v>-7</v>
      </c>
      <c r="R135">
        <v>90</v>
      </c>
    </row>
    <row r="136" spans="1:18" x14ac:dyDescent="0.3">
      <c r="A136">
        <v>334</v>
      </c>
      <c r="B136" t="s">
        <v>336</v>
      </c>
      <c r="C136">
        <v>206</v>
      </c>
      <c r="D136">
        <v>0</v>
      </c>
      <c r="E136" t="s">
        <v>20</v>
      </c>
      <c r="F136" t="s">
        <v>93</v>
      </c>
      <c r="G136" t="s">
        <v>726</v>
      </c>
      <c r="I136">
        <v>0</v>
      </c>
      <c r="J136">
        <v>200</v>
      </c>
      <c r="K136">
        <v>200</v>
      </c>
      <c r="L136">
        <v>206</v>
      </c>
      <c r="M136">
        <v>0</v>
      </c>
      <c r="N136" t="s">
        <v>688</v>
      </c>
      <c r="O136">
        <v>120</v>
      </c>
      <c r="P136">
        <v>80</v>
      </c>
      <c r="Q136">
        <v>80</v>
      </c>
      <c r="R136">
        <v>78</v>
      </c>
    </row>
    <row r="137" spans="1:18" x14ac:dyDescent="0.3">
      <c r="A137">
        <v>335</v>
      </c>
      <c r="B137" t="s">
        <v>337</v>
      </c>
      <c r="C137">
        <v>2</v>
      </c>
      <c r="D137">
        <v>0</v>
      </c>
      <c r="E137" t="s">
        <v>20</v>
      </c>
      <c r="F137" t="s">
        <v>93</v>
      </c>
      <c r="G137" t="s">
        <v>572</v>
      </c>
      <c r="H137" s="5">
        <v>1943830000</v>
      </c>
      <c r="I137">
        <v>0</v>
      </c>
      <c r="J137">
        <v>2</v>
      </c>
      <c r="K137">
        <v>0</v>
      </c>
      <c r="L137">
        <v>2</v>
      </c>
      <c r="M137">
        <v>0</v>
      </c>
      <c r="N137" s="1" t="s">
        <v>566</v>
      </c>
      <c r="O137">
        <v>2</v>
      </c>
      <c r="P137">
        <v>0</v>
      </c>
      <c r="Q137">
        <v>-2</v>
      </c>
      <c r="R137">
        <v>90</v>
      </c>
    </row>
    <row r="138" spans="1:18" x14ac:dyDescent="0.3">
      <c r="A138">
        <v>337</v>
      </c>
      <c r="B138" t="s">
        <v>338</v>
      </c>
      <c r="C138">
        <v>0</v>
      </c>
      <c r="D138">
        <v>0</v>
      </c>
      <c r="E138" t="s">
        <v>20</v>
      </c>
      <c r="F138" t="s">
        <v>24</v>
      </c>
      <c r="G138" t="s">
        <v>339</v>
      </c>
      <c r="H138" s="5" t="s">
        <v>340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752</v>
      </c>
      <c r="P138">
        <v>0</v>
      </c>
      <c r="Q138">
        <v>0</v>
      </c>
    </row>
    <row r="139" spans="1:18" x14ac:dyDescent="0.3">
      <c r="A139">
        <v>338</v>
      </c>
      <c r="B139" t="s">
        <v>341</v>
      </c>
      <c r="C139">
        <v>0</v>
      </c>
      <c r="D139">
        <v>0</v>
      </c>
      <c r="E139" t="s">
        <v>20</v>
      </c>
      <c r="F139" t="s">
        <v>24</v>
      </c>
      <c r="G139" t="s">
        <v>342</v>
      </c>
      <c r="H139" t="s">
        <v>343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655</v>
      </c>
      <c r="P139">
        <v>0</v>
      </c>
      <c r="Q139">
        <v>0</v>
      </c>
    </row>
    <row r="140" spans="1:18" x14ac:dyDescent="0.3">
      <c r="A140">
        <v>339</v>
      </c>
      <c r="B140" s="1" t="s">
        <v>344</v>
      </c>
      <c r="C140">
        <v>0</v>
      </c>
      <c r="D140">
        <v>0</v>
      </c>
      <c r="E140" t="s">
        <v>20</v>
      </c>
      <c r="F140" t="s">
        <v>93</v>
      </c>
      <c r="G140" t="s">
        <v>345</v>
      </c>
      <c r="H140" s="5" t="s">
        <v>346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f>_xlfn.XLOOKUP(B140,[1]Sheet1!$B$1:$B$195,[1]Sheet1!$N$1:$N$195)</f>
        <v>0</v>
      </c>
      <c r="P140">
        <v>0</v>
      </c>
      <c r="Q140">
        <v>0</v>
      </c>
    </row>
    <row r="141" spans="1:18" x14ac:dyDescent="0.3">
      <c r="A141">
        <v>340</v>
      </c>
      <c r="B141" t="s">
        <v>347</v>
      </c>
      <c r="C141">
        <v>0</v>
      </c>
      <c r="D141">
        <v>0</v>
      </c>
      <c r="E141" t="s">
        <v>20</v>
      </c>
      <c r="F141" t="s">
        <v>93</v>
      </c>
      <c r="G141" t="s">
        <v>778</v>
      </c>
      <c r="H141" s="5" t="s">
        <v>348</v>
      </c>
      <c r="I141">
        <v>0</v>
      </c>
      <c r="J141">
        <v>0</v>
      </c>
      <c r="K141">
        <v>0</v>
      </c>
      <c r="L141">
        <v>0</v>
      </c>
      <c r="M141">
        <v>0</v>
      </c>
      <c r="N141" s="3" t="s">
        <v>777</v>
      </c>
      <c r="P141">
        <v>0</v>
      </c>
      <c r="Q141">
        <v>0</v>
      </c>
    </row>
    <row r="142" spans="1:18" x14ac:dyDescent="0.3">
      <c r="A142">
        <v>341</v>
      </c>
      <c r="B142" t="s">
        <v>349</v>
      </c>
      <c r="C142">
        <v>0</v>
      </c>
      <c r="D142">
        <v>0</v>
      </c>
      <c r="E142" t="s">
        <v>20</v>
      </c>
      <c r="F142" t="s">
        <v>93</v>
      </c>
      <c r="G142" t="s">
        <v>712</v>
      </c>
      <c r="H142" s="5" t="s">
        <v>350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713</v>
      </c>
      <c r="P142">
        <v>0</v>
      </c>
      <c r="Q142">
        <v>0</v>
      </c>
    </row>
    <row r="143" spans="1:18" x14ac:dyDescent="0.3">
      <c r="A143">
        <v>342</v>
      </c>
      <c r="B143" s="1" t="s">
        <v>351</v>
      </c>
      <c r="C143">
        <v>0</v>
      </c>
      <c r="D143">
        <v>0</v>
      </c>
      <c r="E143" t="s">
        <v>20</v>
      </c>
      <c r="F143" t="s">
        <v>24</v>
      </c>
      <c r="G143" t="s">
        <v>352</v>
      </c>
      <c r="H143" s="5" t="s">
        <v>353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f>_xlfn.XLOOKUP(B143,[1]Sheet1!$B$1:$B$195,[1]Sheet1!$N$1:$N$195)</f>
        <v>0</v>
      </c>
      <c r="P143">
        <v>0</v>
      </c>
      <c r="Q143">
        <v>0</v>
      </c>
    </row>
    <row r="144" spans="1:18" x14ac:dyDescent="0.3">
      <c r="A144">
        <v>343</v>
      </c>
      <c r="B144" t="s">
        <v>354</v>
      </c>
      <c r="C144">
        <v>0</v>
      </c>
      <c r="D144">
        <v>0</v>
      </c>
      <c r="E144" t="s">
        <v>20</v>
      </c>
      <c r="F144" t="s">
        <v>93</v>
      </c>
      <c r="G144" t="s">
        <v>738</v>
      </c>
      <c r="H144" s="5" t="s">
        <v>355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739</v>
      </c>
      <c r="P144">
        <v>0</v>
      </c>
      <c r="Q144">
        <v>0</v>
      </c>
    </row>
    <row r="145" spans="1:19" x14ac:dyDescent="0.3">
      <c r="A145">
        <v>344</v>
      </c>
      <c r="B145" t="s">
        <v>356</v>
      </c>
      <c r="C145">
        <v>0</v>
      </c>
      <c r="D145">
        <v>0</v>
      </c>
      <c r="E145" t="s">
        <v>20</v>
      </c>
      <c r="F145" t="s">
        <v>24</v>
      </c>
      <c r="G145" t="s">
        <v>550</v>
      </c>
      <c r="H145" s="5" t="s">
        <v>357</v>
      </c>
      <c r="I145">
        <v>0</v>
      </c>
      <c r="J145">
        <v>0</v>
      </c>
      <c r="K145">
        <v>0</v>
      </c>
      <c r="L145">
        <v>0</v>
      </c>
      <c r="M145">
        <v>0</v>
      </c>
      <c r="N145" s="1" t="s">
        <v>553</v>
      </c>
      <c r="O145" t="s">
        <v>581</v>
      </c>
      <c r="P145">
        <v>0</v>
      </c>
      <c r="Q145">
        <v>0</v>
      </c>
    </row>
    <row r="146" spans="1:19" x14ac:dyDescent="0.3">
      <c r="A146">
        <v>345</v>
      </c>
      <c r="B146" t="s">
        <v>358</v>
      </c>
      <c r="C146">
        <v>0</v>
      </c>
      <c r="D146">
        <v>0</v>
      </c>
      <c r="E146" t="s">
        <v>20</v>
      </c>
      <c r="F146" t="s">
        <v>24</v>
      </c>
      <c r="G146" t="s">
        <v>534</v>
      </c>
      <c r="H146" s="5" t="s">
        <v>359</v>
      </c>
      <c r="I146">
        <v>0</v>
      </c>
      <c r="J146">
        <v>0</v>
      </c>
      <c r="K146">
        <v>0</v>
      </c>
      <c r="L146">
        <v>0</v>
      </c>
      <c r="M146">
        <v>0</v>
      </c>
      <c r="N146" s="6" t="s">
        <v>533</v>
      </c>
      <c r="P146">
        <v>0</v>
      </c>
      <c r="Q146">
        <v>0</v>
      </c>
    </row>
    <row r="147" spans="1:19" x14ac:dyDescent="0.3">
      <c r="A147">
        <v>346</v>
      </c>
      <c r="B147" t="s">
        <v>360</v>
      </c>
      <c r="C147">
        <v>0</v>
      </c>
      <c r="D147">
        <v>0</v>
      </c>
      <c r="E147" t="s">
        <v>20</v>
      </c>
      <c r="G147" t="s">
        <v>361</v>
      </c>
      <c r="H147" s="5" t="s">
        <v>362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766</v>
      </c>
      <c r="P147">
        <v>0</v>
      </c>
      <c r="Q147">
        <v>0</v>
      </c>
    </row>
    <row r="148" spans="1:19" x14ac:dyDescent="0.3">
      <c r="A148">
        <v>363</v>
      </c>
      <c r="B148" t="s">
        <v>363</v>
      </c>
      <c r="C148">
        <v>24</v>
      </c>
      <c r="D148">
        <v>0</v>
      </c>
      <c r="E148" t="s">
        <v>20</v>
      </c>
      <c r="F148" t="s">
        <v>24</v>
      </c>
      <c r="G148" t="s">
        <v>670</v>
      </c>
      <c r="H148" s="9" t="s">
        <v>364</v>
      </c>
      <c r="I148">
        <v>0</v>
      </c>
      <c r="J148">
        <v>24</v>
      </c>
      <c r="K148">
        <v>25</v>
      </c>
      <c r="L148">
        <v>24</v>
      </c>
      <c r="M148">
        <v>1</v>
      </c>
      <c r="N148" t="s">
        <v>753</v>
      </c>
      <c r="O148">
        <v>24</v>
      </c>
      <c r="P148">
        <v>0</v>
      </c>
      <c r="Q148">
        <v>1</v>
      </c>
      <c r="R148">
        <v>39</v>
      </c>
    </row>
    <row r="149" spans="1:19" x14ac:dyDescent="0.3">
      <c r="A149">
        <v>367</v>
      </c>
      <c r="B149" t="s">
        <v>365</v>
      </c>
      <c r="C149">
        <v>19</v>
      </c>
      <c r="D149">
        <v>0</v>
      </c>
      <c r="E149" t="s">
        <v>20</v>
      </c>
      <c r="F149" t="s">
        <v>24</v>
      </c>
      <c r="G149" t="s">
        <v>366</v>
      </c>
      <c r="H149" s="5" t="s">
        <v>367</v>
      </c>
      <c r="I149">
        <v>0</v>
      </c>
      <c r="J149">
        <v>0</v>
      </c>
      <c r="K149">
        <v>25</v>
      </c>
      <c r="L149">
        <v>19</v>
      </c>
      <c r="M149">
        <v>6</v>
      </c>
      <c r="N149" s="6" t="s">
        <v>592</v>
      </c>
      <c r="P149">
        <v>0</v>
      </c>
      <c r="Q149">
        <v>25</v>
      </c>
    </row>
    <row r="150" spans="1:19" x14ac:dyDescent="0.3">
      <c r="A150">
        <v>369</v>
      </c>
      <c r="B150" t="s">
        <v>368</v>
      </c>
      <c r="C150">
        <v>18</v>
      </c>
      <c r="D150">
        <v>0</v>
      </c>
      <c r="E150" t="s">
        <v>20</v>
      </c>
      <c r="F150" t="s">
        <v>24</v>
      </c>
      <c r="G150" t="s">
        <v>369</v>
      </c>
      <c r="H150" s="5" t="s">
        <v>370</v>
      </c>
      <c r="I150">
        <v>0</v>
      </c>
      <c r="J150">
        <v>18</v>
      </c>
      <c r="K150">
        <v>25</v>
      </c>
      <c r="L150">
        <v>18</v>
      </c>
      <c r="M150">
        <v>7</v>
      </c>
      <c r="N150" s="6" t="s">
        <v>593</v>
      </c>
      <c r="O150">
        <v>25</v>
      </c>
      <c r="P150">
        <v>-7</v>
      </c>
      <c r="Q150">
        <v>0</v>
      </c>
      <c r="R150">
        <v>94</v>
      </c>
    </row>
    <row r="151" spans="1:19" x14ac:dyDescent="0.3">
      <c r="A151">
        <v>370</v>
      </c>
      <c r="B151" t="s">
        <v>371</v>
      </c>
      <c r="C151">
        <v>17</v>
      </c>
      <c r="D151">
        <v>0</v>
      </c>
      <c r="E151" t="s">
        <v>20</v>
      </c>
      <c r="F151" t="s">
        <v>24</v>
      </c>
      <c r="G151" t="s">
        <v>372</v>
      </c>
      <c r="H151" s="5" t="s">
        <v>373</v>
      </c>
      <c r="I151">
        <v>0</v>
      </c>
      <c r="J151">
        <v>13</v>
      </c>
      <c r="K151">
        <v>25</v>
      </c>
      <c r="L151">
        <v>17</v>
      </c>
      <c r="M151">
        <v>8</v>
      </c>
      <c r="N151" s="6" t="s">
        <v>594</v>
      </c>
      <c r="O151">
        <v>13</v>
      </c>
      <c r="P151">
        <v>0</v>
      </c>
      <c r="Q151">
        <v>12</v>
      </c>
      <c r="R151">
        <v>90</v>
      </c>
    </row>
    <row r="152" spans="1:19" x14ac:dyDescent="0.3">
      <c r="A152">
        <v>372</v>
      </c>
      <c r="B152" t="s">
        <v>374</v>
      </c>
      <c r="C152">
        <v>14</v>
      </c>
      <c r="D152">
        <v>0</v>
      </c>
      <c r="E152" t="s">
        <v>20</v>
      </c>
      <c r="F152" t="s">
        <v>24</v>
      </c>
      <c r="G152" t="s">
        <v>375</v>
      </c>
      <c r="H152" s="5" t="s">
        <v>376</v>
      </c>
      <c r="I152">
        <v>0</v>
      </c>
      <c r="J152">
        <v>0</v>
      </c>
      <c r="K152">
        <v>25</v>
      </c>
      <c r="L152">
        <v>14</v>
      </c>
      <c r="M152">
        <v>11</v>
      </c>
      <c r="N152" s="6" t="s">
        <v>595</v>
      </c>
      <c r="P152">
        <v>0</v>
      </c>
      <c r="Q152">
        <v>25</v>
      </c>
    </row>
    <row r="153" spans="1:19" x14ac:dyDescent="0.3">
      <c r="A153">
        <v>374</v>
      </c>
      <c r="B153" t="s">
        <v>377</v>
      </c>
      <c r="C153">
        <v>12</v>
      </c>
      <c r="D153">
        <v>0</v>
      </c>
      <c r="E153" t="s">
        <v>20</v>
      </c>
      <c r="F153" t="s">
        <v>93</v>
      </c>
      <c r="G153" t="s">
        <v>378</v>
      </c>
      <c r="H153" s="5" t="s">
        <v>379</v>
      </c>
      <c r="I153">
        <v>0</v>
      </c>
      <c r="J153">
        <v>12</v>
      </c>
      <c r="K153">
        <v>25</v>
      </c>
      <c r="L153">
        <v>12</v>
      </c>
      <c r="M153">
        <v>13</v>
      </c>
      <c r="N153" s="6" t="s">
        <v>596</v>
      </c>
      <c r="O153">
        <v>12</v>
      </c>
      <c r="P153">
        <v>0</v>
      </c>
      <c r="Q153">
        <v>13</v>
      </c>
      <c r="R153">
        <v>30</v>
      </c>
      <c r="S153">
        <v>2</v>
      </c>
    </row>
    <row r="154" spans="1:19" x14ac:dyDescent="0.3">
      <c r="A154">
        <v>375</v>
      </c>
      <c r="B154" t="s">
        <v>380</v>
      </c>
      <c r="C154">
        <v>8</v>
      </c>
      <c r="D154">
        <v>0</v>
      </c>
      <c r="E154" t="s">
        <v>20</v>
      </c>
      <c r="F154" t="s">
        <v>93</v>
      </c>
      <c r="G154" t="s">
        <v>591</v>
      </c>
      <c r="H154" s="5" t="s">
        <v>381</v>
      </c>
      <c r="I154">
        <v>0</v>
      </c>
      <c r="J154">
        <v>78</v>
      </c>
      <c r="K154">
        <v>25</v>
      </c>
      <c r="L154">
        <v>8</v>
      </c>
      <c r="M154">
        <v>17</v>
      </c>
      <c r="N154" s="6" t="s">
        <v>597</v>
      </c>
      <c r="O154">
        <v>43</v>
      </c>
      <c r="P154">
        <v>35</v>
      </c>
      <c r="Q154">
        <v>-18</v>
      </c>
      <c r="R154">
        <v>30</v>
      </c>
      <c r="S154">
        <v>2</v>
      </c>
    </row>
    <row r="155" spans="1:19" x14ac:dyDescent="0.3">
      <c r="A155">
        <v>377</v>
      </c>
      <c r="B155" t="s">
        <v>382</v>
      </c>
      <c r="C155">
        <v>6</v>
      </c>
      <c r="D155">
        <v>0</v>
      </c>
      <c r="E155" t="s">
        <v>20</v>
      </c>
      <c r="F155" t="s">
        <v>24</v>
      </c>
      <c r="G155" t="s">
        <v>383</v>
      </c>
      <c r="H155" s="5" t="s">
        <v>384</v>
      </c>
      <c r="I155">
        <v>0</v>
      </c>
      <c r="J155">
        <v>7</v>
      </c>
      <c r="K155">
        <v>25</v>
      </c>
      <c r="L155">
        <v>6</v>
      </c>
      <c r="M155">
        <v>19</v>
      </c>
      <c r="N155" t="s">
        <v>759</v>
      </c>
      <c r="O155">
        <v>7</v>
      </c>
      <c r="P155">
        <v>0</v>
      </c>
      <c r="Q155">
        <v>18</v>
      </c>
      <c r="R155">
        <v>97</v>
      </c>
    </row>
    <row r="156" spans="1:19" x14ac:dyDescent="0.3">
      <c r="A156">
        <v>379</v>
      </c>
      <c r="B156" t="s">
        <v>385</v>
      </c>
      <c r="C156">
        <v>4</v>
      </c>
      <c r="D156">
        <v>0</v>
      </c>
      <c r="E156" t="s">
        <v>20</v>
      </c>
      <c r="F156" t="s">
        <v>24</v>
      </c>
      <c r="G156" t="s">
        <v>386</v>
      </c>
      <c r="H156" s="5" t="s">
        <v>387</v>
      </c>
      <c r="I156">
        <v>0</v>
      </c>
      <c r="J156">
        <v>0</v>
      </c>
      <c r="K156">
        <v>25</v>
      </c>
      <c r="L156">
        <v>4</v>
      </c>
      <c r="M156">
        <v>21</v>
      </c>
      <c r="N156" s="6" t="s">
        <v>598</v>
      </c>
      <c r="P156">
        <v>0</v>
      </c>
      <c r="Q156">
        <v>25</v>
      </c>
    </row>
    <row r="157" spans="1:19" x14ac:dyDescent="0.3">
      <c r="A157">
        <v>380</v>
      </c>
      <c r="B157" s="1" t="s">
        <v>388</v>
      </c>
      <c r="C157">
        <v>3</v>
      </c>
      <c r="D157">
        <v>0</v>
      </c>
      <c r="E157" t="s">
        <v>20</v>
      </c>
      <c r="F157" t="s">
        <v>93</v>
      </c>
      <c r="G157" t="s">
        <v>389</v>
      </c>
      <c r="H157" s="5" t="s">
        <v>390</v>
      </c>
      <c r="I157">
        <v>0</v>
      </c>
      <c r="J157">
        <v>3</v>
      </c>
      <c r="K157">
        <v>25</v>
      </c>
      <c r="L157">
        <v>3</v>
      </c>
      <c r="M157">
        <v>22</v>
      </c>
      <c r="N157">
        <f>_xlfn.XLOOKUP(B157,[1]Sheet1!$B$1:$B$195,[1]Sheet1!$N$1:$N$195)</f>
        <v>0</v>
      </c>
      <c r="O157">
        <v>3</v>
      </c>
      <c r="P157">
        <v>0</v>
      </c>
      <c r="Q157">
        <v>22</v>
      </c>
      <c r="R157">
        <v>90</v>
      </c>
    </row>
    <row r="158" spans="1:19" x14ac:dyDescent="0.3">
      <c r="A158">
        <v>381</v>
      </c>
      <c r="B158" t="s">
        <v>391</v>
      </c>
      <c r="C158">
        <v>2</v>
      </c>
      <c r="D158">
        <v>0</v>
      </c>
      <c r="E158" t="s">
        <v>20</v>
      </c>
      <c r="F158" t="s">
        <v>93</v>
      </c>
      <c r="G158" t="s">
        <v>392</v>
      </c>
      <c r="H158" s="5" t="s">
        <v>393</v>
      </c>
      <c r="I158">
        <v>0</v>
      </c>
      <c r="J158">
        <v>2</v>
      </c>
      <c r="K158">
        <v>25</v>
      </c>
      <c r="L158">
        <v>2</v>
      </c>
      <c r="M158">
        <v>23</v>
      </c>
      <c r="N158" s="6" t="s">
        <v>599</v>
      </c>
      <c r="P158">
        <v>2</v>
      </c>
      <c r="Q158">
        <v>25</v>
      </c>
    </row>
    <row r="159" spans="1:19" x14ac:dyDescent="0.3">
      <c r="A159">
        <v>383</v>
      </c>
      <c r="B159" t="s">
        <v>394</v>
      </c>
      <c r="C159">
        <v>2</v>
      </c>
      <c r="D159">
        <v>0</v>
      </c>
      <c r="E159" t="s">
        <v>20</v>
      </c>
      <c r="F159" t="s">
        <v>24</v>
      </c>
      <c r="G159" t="s">
        <v>395</v>
      </c>
      <c r="H159" s="5" t="s">
        <v>396</v>
      </c>
      <c r="I159">
        <v>0</v>
      </c>
      <c r="J159">
        <v>0</v>
      </c>
      <c r="K159">
        <v>25</v>
      </c>
      <c r="L159">
        <v>2</v>
      </c>
      <c r="M159">
        <v>23</v>
      </c>
      <c r="N159" s="6" t="s">
        <v>600</v>
      </c>
      <c r="P159">
        <v>0</v>
      </c>
      <c r="Q159">
        <v>25</v>
      </c>
    </row>
    <row r="160" spans="1:19" x14ac:dyDescent="0.3">
      <c r="A160">
        <v>384</v>
      </c>
      <c r="B160" t="s">
        <v>397</v>
      </c>
      <c r="C160">
        <v>1</v>
      </c>
      <c r="D160">
        <v>0</v>
      </c>
      <c r="E160" t="s">
        <v>20</v>
      </c>
      <c r="F160" t="s">
        <v>93</v>
      </c>
      <c r="G160" t="s">
        <v>398</v>
      </c>
      <c r="H160" s="5" t="s">
        <v>399</v>
      </c>
      <c r="I160">
        <v>0</v>
      </c>
      <c r="J160">
        <v>1</v>
      </c>
      <c r="K160">
        <v>25</v>
      </c>
      <c r="L160">
        <v>1</v>
      </c>
      <c r="M160">
        <v>24</v>
      </c>
      <c r="N160" s="6" t="s">
        <v>601</v>
      </c>
      <c r="P160">
        <v>1</v>
      </c>
      <c r="Q160">
        <v>25</v>
      </c>
    </row>
    <row r="161" spans="1:19" x14ac:dyDescent="0.3">
      <c r="A161">
        <v>385</v>
      </c>
      <c r="B161" s="1" t="s">
        <v>400</v>
      </c>
      <c r="C161">
        <v>0</v>
      </c>
      <c r="D161">
        <v>0</v>
      </c>
      <c r="E161" t="s">
        <v>20</v>
      </c>
      <c r="F161" t="s">
        <v>93</v>
      </c>
      <c r="G161" t="s">
        <v>401</v>
      </c>
      <c r="H161" s="5" t="s">
        <v>402</v>
      </c>
      <c r="I161">
        <v>0</v>
      </c>
      <c r="J161">
        <v>0</v>
      </c>
      <c r="K161">
        <v>25</v>
      </c>
      <c r="L161">
        <v>0</v>
      </c>
      <c r="M161">
        <v>25</v>
      </c>
      <c r="N161">
        <f>_xlfn.XLOOKUP(B161,[1]Sheet1!$B$1:$B$195,[1]Sheet1!$N$1:$N$195)</f>
        <v>0</v>
      </c>
      <c r="P161">
        <v>0</v>
      </c>
      <c r="Q161">
        <v>25</v>
      </c>
    </row>
    <row r="162" spans="1:19" x14ac:dyDescent="0.3">
      <c r="A162">
        <v>386</v>
      </c>
      <c r="B162" t="s">
        <v>403</v>
      </c>
      <c r="C162">
        <v>0</v>
      </c>
      <c r="D162">
        <v>0</v>
      </c>
      <c r="E162" t="s">
        <v>20</v>
      </c>
      <c r="F162" t="s">
        <v>24</v>
      </c>
      <c r="G162" t="s">
        <v>404</v>
      </c>
      <c r="H162" s="5" t="s">
        <v>405</v>
      </c>
      <c r="I162">
        <v>0</v>
      </c>
      <c r="J162">
        <v>0</v>
      </c>
      <c r="K162">
        <v>25</v>
      </c>
      <c r="L162">
        <v>0</v>
      </c>
      <c r="M162">
        <v>25</v>
      </c>
      <c r="N162" s="6" t="s">
        <v>588</v>
      </c>
      <c r="P162">
        <v>0</v>
      </c>
      <c r="Q162">
        <v>25</v>
      </c>
    </row>
    <row r="163" spans="1:19" x14ac:dyDescent="0.3">
      <c r="A163">
        <v>387</v>
      </c>
      <c r="B163" t="s">
        <v>406</v>
      </c>
      <c r="C163">
        <v>0</v>
      </c>
      <c r="D163">
        <v>0</v>
      </c>
      <c r="E163" t="s">
        <v>20</v>
      </c>
      <c r="F163" t="s">
        <v>24</v>
      </c>
      <c r="G163" t="s">
        <v>669</v>
      </c>
      <c r="H163" s="5" t="s">
        <v>407</v>
      </c>
      <c r="I163">
        <v>0</v>
      </c>
      <c r="J163">
        <v>0</v>
      </c>
      <c r="K163">
        <v>25</v>
      </c>
      <c r="L163">
        <v>0</v>
      </c>
      <c r="M163">
        <v>25</v>
      </c>
      <c r="N163" t="s">
        <v>668</v>
      </c>
      <c r="P163">
        <v>0</v>
      </c>
      <c r="Q163">
        <v>25</v>
      </c>
    </row>
    <row r="164" spans="1:19" x14ac:dyDescent="0.3">
      <c r="A164">
        <v>388</v>
      </c>
      <c r="B164" t="s">
        <v>408</v>
      </c>
      <c r="C164">
        <v>0</v>
      </c>
      <c r="D164">
        <v>0</v>
      </c>
      <c r="E164" t="s">
        <v>20</v>
      </c>
      <c r="F164" t="s">
        <v>24</v>
      </c>
      <c r="G164" t="s">
        <v>629</v>
      </c>
      <c r="H164" s="5" t="s">
        <v>409</v>
      </c>
      <c r="I164">
        <v>0</v>
      </c>
      <c r="J164">
        <v>0</v>
      </c>
      <c r="K164">
        <v>25</v>
      </c>
      <c r="L164">
        <v>0</v>
      </c>
      <c r="M164">
        <v>25</v>
      </c>
      <c r="N164" s="7" t="s">
        <v>637</v>
      </c>
      <c r="P164">
        <v>0</v>
      </c>
      <c r="Q164">
        <v>25</v>
      </c>
    </row>
    <row r="165" spans="1:19" x14ac:dyDescent="0.3">
      <c r="A165">
        <v>390</v>
      </c>
      <c r="B165">
        <v>512000</v>
      </c>
      <c r="C165">
        <v>0</v>
      </c>
      <c r="D165">
        <v>0</v>
      </c>
      <c r="E165" t="s">
        <v>20</v>
      </c>
      <c r="F165" t="s">
        <v>93</v>
      </c>
      <c r="G165" t="s">
        <v>410</v>
      </c>
      <c r="H165" s="5" t="s">
        <v>411</v>
      </c>
      <c r="I165">
        <v>0</v>
      </c>
      <c r="J165">
        <v>0</v>
      </c>
      <c r="K165">
        <v>40</v>
      </c>
      <c r="L165">
        <v>0</v>
      </c>
      <c r="M165">
        <v>40</v>
      </c>
      <c r="N165" t="s">
        <v>754</v>
      </c>
      <c r="P165">
        <v>0</v>
      </c>
      <c r="Q165">
        <v>40</v>
      </c>
    </row>
    <row r="166" spans="1:19" x14ac:dyDescent="0.3">
      <c r="A166">
        <v>391</v>
      </c>
      <c r="B166">
        <v>605028</v>
      </c>
      <c r="C166">
        <v>0</v>
      </c>
      <c r="D166">
        <v>0</v>
      </c>
      <c r="E166" t="s">
        <v>20</v>
      </c>
      <c r="G166" t="s">
        <v>656</v>
      </c>
      <c r="H166" t="s">
        <v>412</v>
      </c>
      <c r="I166">
        <v>0</v>
      </c>
      <c r="J166">
        <v>0</v>
      </c>
      <c r="K166">
        <v>40</v>
      </c>
      <c r="L166">
        <v>0</v>
      </c>
      <c r="M166">
        <v>40</v>
      </c>
      <c r="N166" t="s">
        <v>657</v>
      </c>
      <c r="P166">
        <v>0</v>
      </c>
      <c r="Q166">
        <v>40</v>
      </c>
    </row>
    <row r="167" spans="1:19" x14ac:dyDescent="0.3">
      <c r="A167">
        <v>392</v>
      </c>
      <c r="B167">
        <v>610010</v>
      </c>
      <c r="C167">
        <v>0</v>
      </c>
      <c r="D167">
        <v>0</v>
      </c>
      <c r="E167" t="s">
        <v>20</v>
      </c>
      <c r="G167" t="s">
        <v>413</v>
      </c>
      <c r="H167" t="s">
        <v>414</v>
      </c>
      <c r="I167">
        <v>0</v>
      </c>
      <c r="J167">
        <v>0</v>
      </c>
      <c r="K167">
        <v>40</v>
      </c>
      <c r="L167">
        <v>0</v>
      </c>
      <c r="M167">
        <v>40</v>
      </c>
      <c r="N167" t="s">
        <v>645</v>
      </c>
      <c r="P167">
        <v>0</v>
      </c>
      <c r="Q167">
        <v>40</v>
      </c>
    </row>
    <row r="168" spans="1:19" x14ac:dyDescent="0.3">
      <c r="A168">
        <v>393</v>
      </c>
      <c r="B168">
        <v>610015</v>
      </c>
      <c r="C168">
        <v>250</v>
      </c>
      <c r="D168">
        <v>0</v>
      </c>
      <c r="E168" t="s">
        <v>20</v>
      </c>
      <c r="G168" t="s">
        <v>415</v>
      </c>
      <c r="H168" t="s">
        <v>416</v>
      </c>
      <c r="I168">
        <v>0</v>
      </c>
      <c r="J168">
        <v>250</v>
      </c>
      <c r="K168">
        <v>40</v>
      </c>
      <c r="L168">
        <v>0</v>
      </c>
      <c r="M168">
        <v>40</v>
      </c>
      <c r="N168" t="s">
        <v>642</v>
      </c>
      <c r="O168">
        <v>1519</v>
      </c>
      <c r="P168">
        <v>-1269</v>
      </c>
      <c r="Q168">
        <v>-1479</v>
      </c>
      <c r="R168">
        <v>29</v>
      </c>
      <c r="S168">
        <v>2</v>
      </c>
    </row>
    <row r="169" spans="1:19" x14ac:dyDescent="0.3">
      <c r="A169">
        <v>394</v>
      </c>
      <c r="B169">
        <v>610018</v>
      </c>
      <c r="C169">
        <v>0</v>
      </c>
      <c r="D169">
        <v>0</v>
      </c>
      <c r="E169" t="s">
        <v>20</v>
      </c>
      <c r="G169" t="s">
        <v>417</v>
      </c>
      <c r="H169" t="s">
        <v>418</v>
      </c>
      <c r="I169">
        <v>0</v>
      </c>
      <c r="J169">
        <v>0</v>
      </c>
      <c r="K169">
        <v>40</v>
      </c>
      <c r="L169">
        <v>0</v>
      </c>
      <c r="M169">
        <v>40</v>
      </c>
      <c r="N169" t="s">
        <v>643</v>
      </c>
      <c r="P169">
        <v>0</v>
      </c>
      <c r="Q169">
        <v>40</v>
      </c>
    </row>
    <row r="170" spans="1:19" x14ac:dyDescent="0.3">
      <c r="A170">
        <v>395</v>
      </c>
      <c r="B170">
        <v>616008</v>
      </c>
      <c r="C170">
        <v>0</v>
      </c>
      <c r="D170">
        <v>0</v>
      </c>
      <c r="E170" t="s">
        <v>20</v>
      </c>
      <c r="G170" t="s">
        <v>419</v>
      </c>
      <c r="H170" t="s">
        <v>420</v>
      </c>
      <c r="I170">
        <v>0</v>
      </c>
      <c r="J170">
        <v>0</v>
      </c>
      <c r="K170">
        <v>40</v>
      </c>
      <c r="L170">
        <v>0</v>
      </c>
      <c r="M170">
        <v>40</v>
      </c>
      <c r="N170" t="s">
        <v>646</v>
      </c>
      <c r="P170">
        <v>0</v>
      </c>
      <c r="Q170">
        <v>40</v>
      </c>
    </row>
    <row r="171" spans="1:19" x14ac:dyDescent="0.3">
      <c r="A171">
        <v>396</v>
      </c>
      <c r="B171">
        <v>619002</v>
      </c>
      <c r="C171">
        <v>0</v>
      </c>
      <c r="D171">
        <v>0</v>
      </c>
      <c r="E171" t="s">
        <v>20</v>
      </c>
      <c r="G171" t="s">
        <v>421</v>
      </c>
      <c r="H171" t="s">
        <v>422</v>
      </c>
      <c r="I171">
        <v>0</v>
      </c>
      <c r="J171">
        <v>0</v>
      </c>
      <c r="K171">
        <v>40</v>
      </c>
      <c r="L171">
        <v>0</v>
      </c>
      <c r="M171">
        <v>40</v>
      </c>
      <c r="N171" t="s">
        <v>647</v>
      </c>
      <c r="P171">
        <v>0</v>
      </c>
      <c r="Q171">
        <v>40</v>
      </c>
    </row>
    <row r="172" spans="1:19" x14ac:dyDescent="0.3">
      <c r="A172">
        <v>397</v>
      </c>
      <c r="B172">
        <v>619003</v>
      </c>
      <c r="C172">
        <v>0</v>
      </c>
      <c r="D172">
        <v>0</v>
      </c>
      <c r="E172" t="s">
        <v>20</v>
      </c>
      <c r="G172" t="s">
        <v>423</v>
      </c>
      <c r="H172" t="s">
        <v>424</v>
      </c>
      <c r="I172">
        <v>0</v>
      </c>
      <c r="J172">
        <v>0</v>
      </c>
      <c r="K172">
        <v>40</v>
      </c>
      <c r="L172">
        <v>0</v>
      </c>
      <c r="M172">
        <v>40</v>
      </c>
      <c r="N172" t="s">
        <v>648</v>
      </c>
      <c r="P172">
        <v>0</v>
      </c>
      <c r="Q172">
        <v>40</v>
      </c>
    </row>
    <row r="173" spans="1:19" x14ac:dyDescent="0.3">
      <c r="A173">
        <v>398</v>
      </c>
      <c r="B173">
        <v>619005</v>
      </c>
      <c r="C173">
        <v>0</v>
      </c>
      <c r="D173">
        <v>0</v>
      </c>
      <c r="E173" t="s">
        <v>20</v>
      </c>
      <c r="F173" t="s">
        <v>93</v>
      </c>
      <c r="G173" t="s">
        <v>649</v>
      </c>
      <c r="H173" t="s">
        <v>425</v>
      </c>
      <c r="I173">
        <v>0</v>
      </c>
      <c r="J173">
        <v>0</v>
      </c>
      <c r="K173">
        <v>40</v>
      </c>
      <c r="L173">
        <v>0</v>
      </c>
      <c r="M173">
        <v>40</v>
      </c>
      <c r="N173" t="s">
        <v>639</v>
      </c>
      <c r="P173">
        <v>0</v>
      </c>
      <c r="Q173">
        <v>40</v>
      </c>
    </row>
    <row r="174" spans="1:19" x14ac:dyDescent="0.3">
      <c r="A174">
        <v>399</v>
      </c>
      <c r="B174">
        <v>619006</v>
      </c>
      <c r="C174">
        <v>0</v>
      </c>
      <c r="D174">
        <v>0</v>
      </c>
      <c r="E174" t="s">
        <v>20</v>
      </c>
      <c r="G174" t="s">
        <v>426</v>
      </c>
      <c r="H174" t="s">
        <v>427</v>
      </c>
      <c r="I174">
        <v>0</v>
      </c>
      <c r="J174">
        <v>0</v>
      </c>
      <c r="K174">
        <v>40</v>
      </c>
      <c r="L174">
        <v>0</v>
      </c>
      <c r="M174">
        <v>40</v>
      </c>
      <c r="N174" t="s">
        <v>650</v>
      </c>
      <c r="P174">
        <v>0</v>
      </c>
      <c r="Q174">
        <v>40</v>
      </c>
    </row>
    <row r="175" spans="1:19" x14ac:dyDescent="0.3">
      <c r="A175">
        <v>400</v>
      </c>
      <c r="B175" s="1" t="s">
        <v>428</v>
      </c>
      <c r="C175">
        <v>60</v>
      </c>
      <c r="D175">
        <v>0</v>
      </c>
      <c r="E175" t="s">
        <v>20</v>
      </c>
      <c r="F175" t="s">
        <v>93</v>
      </c>
      <c r="G175" t="s">
        <v>429</v>
      </c>
      <c r="H175" s="5" t="s">
        <v>430</v>
      </c>
      <c r="I175">
        <v>0</v>
      </c>
      <c r="J175">
        <v>0</v>
      </c>
      <c r="K175">
        <v>100</v>
      </c>
      <c r="L175">
        <v>60</v>
      </c>
      <c r="M175">
        <v>40</v>
      </c>
      <c r="N175">
        <f>_xlfn.XLOOKUP(B175,[1]Sheet1!$B$1:$B$195,[1]Sheet1!$N$1:$N$195)</f>
        <v>0</v>
      </c>
      <c r="P175">
        <v>0</v>
      </c>
      <c r="Q175">
        <v>100</v>
      </c>
    </row>
    <row r="176" spans="1:19" x14ac:dyDescent="0.3">
      <c r="A176">
        <v>402</v>
      </c>
      <c r="B176" t="s">
        <v>431</v>
      </c>
      <c r="C176">
        <v>5</v>
      </c>
      <c r="D176">
        <v>0</v>
      </c>
      <c r="E176" t="s">
        <v>20</v>
      </c>
      <c r="F176" t="s">
        <v>93</v>
      </c>
      <c r="G176" t="s">
        <v>755</v>
      </c>
      <c r="H176" s="5" t="s">
        <v>432</v>
      </c>
      <c r="I176">
        <v>0</v>
      </c>
      <c r="J176">
        <v>105</v>
      </c>
      <c r="K176">
        <v>50</v>
      </c>
      <c r="L176">
        <v>5</v>
      </c>
      <c r="M176">
        <v>45</v>
      </c>
      <c r="N176" t="s">
        <v>756</v>
      </c>
      <c r="P176">
        <v>105</v>
      </c>
      <c r="Q176">
        <v>50</v>
      </c>
    </row>
    <row r="177" spans="1:18" x14ac:dyDescent="0.3">
      <c r="A177">
        <v>403</v>
      </c>
      <c r="B177" t="s">
        <v>433</v>
      </c>
      <c r="C177">
        <v>5</v>
      </c>
      <c r="D177">
        <v>0</v>
      </c>
      <c r="E177" t="s">
        <v>20</v>
      </c>
      <c r="F177" t="s">
        <v>24</v>
      </c>
      <c r="G177" t="s">
        <v>434</v>
      </c>
      <c r="H177" s="5" t="s">
        <v>435</v>
      </c>
      <c r="I177">
        <v>0</v>
      </c>
      <c r="J177">
        <v>0</v>
      </c>
      <c r="K177">
        <v>50</v>
      </c>
      <c r="L177">
        <v>5</v>
      </c>
      <c r="M177">
        <v>45</v>
      </c>
      <c r="N177" s="6" t="s">
        <v>602</v>
      </c>
      <c r="P177">
        <v>0</v>
      </c>
      <c r="Q177">
        <v>50</v>
      </c>
    </row>
    <row r="178" spans="1:18" x14ac:dyDescent="0.3">
      <c r="A178">
        <v>410</v>
      </c>
      <c r="B178" t="s">
        <v>436</v>
      </c>
      <c r="C178">
        <v>0</v>
      </c>
      <c r="D178">
        <v>0</v>
      </c>
      <c r="E178" t="s">
        <v>20</v>
      </c>
      <c r="F178" t="s">
        <v>93</v>
      </c>
      <c r="G178" t="s">
        <v>437</v>
      </c>
      <c r="H178"/>
      <c r="I178">
        <v>0</v>
      </c>
      <c r="J178">
        <v>0</v>
      </c>
      <c r="K178">
        <v>65</v>
      </c>
      <c r="L178">
        <v>0</v>
      </c>
      <c r="M178">
        <v>65</v>
      </c>
      <c r="N178" t="s">
        <v>767</v>
      </c>
      <c r="P178">
        <v>0</v>
      </c>
      <c r="Q178">
        <v>65</v>
      </c>
    </row>
    <row r="179" spans="1:18" x14ac:dyDescent="0.3">
      <c r="A179">
        <v>412</v>
      </c>
      <c r="B179" t="s">
        <v>438</v>
      </c>
      <c r="C179">
        <v>49</v>
      </c>
      <c r="D179">
        <v>0</v>
      </c>
      <c r="E179" t="s">
        <v>20</v>
      </c>
      <c r="F179" t="s">
        <v>24</v>
      </c>
      <c r="G179" t="s">
        <v>439</v>
      </c>
      <c r="H179" s="5" t="s">
        <v>440</v>
      </c>
      <c r="I179">
        <v>0</v>
      </c>
      <c r="J179">
        <v>49</v>
      </c>
      <c r="K179">
        <v>125</v>
      </c>
      <c r="L179">
        <v>49</v>
      </c>
      <c r="M179">
        <v>76</v>
      </c>
      <c r="N179" s="6" t="s">
        <v>603</v>
      </c>
      <c r="O179">
        <v>19</v>
      </c>
      <c r="P179">
        <v>30</v>
      </c>
      <c r="Q179">
        <v>106</v>
      </c>
    </row>
    <row r="180" spans="1:18" x14ac:dyDescent="0.3">
      <c r="A180">
        <v>413</v>
      </c>
      <c r="B180">
        <v>420002</v>
      </c>
      <c r="C180">
        <v>0</v>
      </c>
      <c r="D180">
        <v>0</v>
      </c>
      <c r="E180" t="s">
        <v>20</v>
      </c>
      <c r="F180" t="s">
        <v>93</v>
      </c>
      <c r="G180" t="s">
        <v>699</v>
      </c>
      <c r="H180" s="5" t="s">
        <v>441</v>
      </c>
      <c r="I180">
        <v>0</v>
      </c>
      <c r="J180">
        <v>0</v>
      </c>
      <c r="K180">
        <v>80</v>
      </c>
      <c r="L180">
        <v>0</v>
      </c>
      <c r="M180">
        <v>80</v>
      </c>
      <c r="N180" t="s">
        <v>733</v>
      </c>
      <c r="P180">
        <v>0</v>
      </c>
      <c r="Q180">
        <v>80</v>
      </c>
    </row>
    <row r="181" spans="1:18" x14ac:dyDescent="0.3">
      <c r="A181">
        <v>414</v>
      </c>
      <c r="B181">
        <v>420029</v>
      </c>
      <c r="C181">
        <v>0</v>
      </c>
      <c r="D181">
        <v>0</v>
      </c>
      <c r="E181" t="s">
        <v>20</v>
      </c>
      <c r="F181" t="s">
        <v>93</v>
      </c>
      <c r="G181" t="s">
        <v>586</v>
      </c>
      <c r="H181" s="5" t="s">
        <v>442</v>
      </c>
      <c r="I181">
        <v>0</v>
      </c>
      <c r="J181">
        <v>0</v>
      </c>
      <c r="K181">
        <v>80</v>
      </c>
      <c r="L181">
        <v>0</v>
      </c>
      <c r="M181">
        <v>80</v>
      </c>
      <c r="N181" s="6" t="s">
        <v>585</v>
      </c>
      <c r="P181">
        <v>0</v>
      </c>
      <c r="Q181">
        <v>80</v>
      </c>
    </row>
    <row r="182" spans="1:18" x14ac:dyDescent="0.3">
      <c r="A182">
        <v>415</v>
      </c>
      <c r="B182">
        <v>507000</v>
      </c>
      <c r="C182">
        <v>0</v>
      </c>
      <c r="D182">
        <v>0</v>
      </c>
      <c r="E182" t="s">
        <v>20</v>
      </c>
      <c r="G182" t="s">
        <v>443</v>
      </c>
      <c r="H182" s="5" t="s">
        <v>444</v>
      </c>
      <c r="I182">
        <v>0</v>
      </c>
      <c r="J182">
        <v>0</v>
      </c>
      <c r="K182">
        <v>80</v>
      </c>
      <c r="L182">
        <v>0</v>
      </c>
      <c r="M182">
        <v>80</v>
      </c>
      <c r="N182" s="1" t="s">
        <v>584</v>
      </c>
      <c r="P182">
        <v>0</v>
      </c>
      <c r="Q182">
        <v>80</v>
      </c>
    </row>
    <row r="183" spans="1:18" x14ac:dyDescent="0.3">
      <c r="A183">
        <v>416</v>
      </c>
      <c r="B183">
        <v>610005</v>
      </c>
      <c r="C183">
        <v>0</v>
      </c>
      <c r="D183">
        <v>0</v>
      </c>
      <c r="E183" t="s">
        <v>20</v>
      </c>
      <c r="G183" t="s">
        <v>445</v>
      </c>
      <c r="H183" t="s">
        <v>446</v>
      </c>
      <c r="I183">
        <v>0</v>
      </c>
      <c r="J183">
        <v>0</v>
      </c>
      <c r="K183">
        <v>80</v>
      </c>
      <c r="L183">
        <v>0</v>
      </c>
      <c r="M183">
        <v>80</v>
      </c>
      <c r="N183" t="s">
        <v>644</v>
      </c>
      <c r="P183">
        <v>0</v>
      </c>
      <c r="Q183">
        <v>80</v>
      </c>
    </row>
    <row r="184" spans="1:18" x14ac:dyDescent="0.3">
      <c r="A184">
        <v>417</v>
      </c>
      <c r="B184">
        <v>616013</v>
      </c>
      <c r="C184">
        <v>0</v>
      </c>
      <c r="D184">
        <v>0</v>
      </c>
      <c r="E184" t="s">
        <v>20</v>
      </c>
      <c r="G184" t="s">
        <v>652</v>
      </c>
      <c r="H184" t="s">
        <v>447</v>
      </c>
      <c r="I184">
        <v>0</v>
      </c>
      <c r="J184">
        <v>0</v>
      </c>
      <c r="K184">
        <v>80</v>
      </c>
      <c r="L184">
        <v>0</v>
      </c>
      <c r="M184">
        <v>80</v>
      </c>
      <c r="N184" t="s">
        <v>651</v>
      </c>
      <c r="P184">
        <v>0</v>
      </c>
      <c r="Q184">
        <v>80</v>
      </c>
    </row>
    <row r="185" spans="1:18" x14ac:dyDescent="0.3">
      <c r="A185">
        <v>423</v>
      </c>
      <c r="B185" t="s">
        <v>448</v>
      </c>
      <c r="C185">
        <v>3</v>
      </c>
      <c r="D185">
        <v>0</v>
      </c>
      <c r="E185" t="s">
        <v>20</v>
      </c>
      <c r="F185" t="s">
        <v>24</v>
      </c>
      <c r="G185" t="s">
        <v>449</v>
      </c>
      <c r="H185" s="5" t="s">
        <v>450</v>
      </c>
      <c r="I185">
        <v>0</v>
      </c>
      <c r="J185">
        <v>0</v>
      </c>
      <c r="K185">
        <v>100</v>
      </c>
      <c r="L185">
        <v>3</v>
      </c>
      <c r="M185">
        <v>97</v>
      </c>
      <c r="N185" s="6" t="s">
        <v>589</v>
      </c>
      <c r="P185">
        <v>0</v>
      </c>
      <c r="Q185">
        <v>100</v>
      </c>
    </row>
    <row r="186" spans="1:18" x14ac:dyDescent="0.3">
      <c r="A186">
        <v>424</v>
      </c>
      <c r="B186" t="s">
        <v>451</v>
      </c>
      <c r="C186">
        <v>26</v>
      </c>
      <c r="D186">
        <v>0</v>
      </c>
      <c r="E186" t="s">
        <v>20</v>
      </c>
      <c r="F186" t="s">
        <v>24</v>
      </c>
      <c r="G186" t="s">
        <v>452</v>
      </c>
      <c r="H186" s="5" t="s">
        <v>453</v>
      </c>
      <c r="I186">
        <v>0</v>
      </c>
      <c r="J186">
        <v>26</v>
      </c>
      <c r="K186">
        <v>125</v>
      </c>
      <c r="L186">
        <v>26</v>
      </c>
      <c r="M186">
        <v>99</v>
      </c>
      <c r="N186" s="6" t="s">
        <v>590</v>
      </c>
      <c r="P186">
        <v>26</v>
      </c>
      <c r="Q186">
        <v>125</v>
      </c>
    </row>
    <row r="187" spans="1:18" x14ac:dyDescent="0.3">
      <c r="A187">
        <v>429</v>
      </c>
      <c r="B187" t="s">
        <v>454</v>
      </c>
      <c r="C187">
        <v>37</v>
      </c>
      <c r="D187">
        <v>0</v>
      </c>
      <c r="E187" t="s">
        <v>20</v>
      </c>
      <c r="F187" t="s">
        <v>24</v>
      </c>
      <c r="G187" t="s">
        <v>455</v>
      </c>
      <c r="H187" s="5" t="s">
        <v>456</v>
      </c>
      <c r="I187">
        <v>0</v>
      </c>
      <c r="J187">
        <v>37</v>
      </c>
      <c r="K187">
        <v>150</v>
      </c>
      <c r="L187">
        <v>37</v>
      </c>
      <c r="M187">
        <v>113</v>
      </c>
      <c r="N187" s="6" t="s">
        <v>583</v>
      </c>
      <c r="O187">
        <v>37</v>
      </c>
      <c r="P187">
        <v>0</v>
      </c>
      <c r="Q187">
        <v>113</v>
      </c>
      <c r="R187">
        <v>39</v>
      </c>
    </row>
    <row r="188" spans="1:18" x14ac:dyDescent="0.3">
      <c r="A188">
        <v>445</v>
      </c>
      <c r="B188">
        <v>619001</v>
      </c>
      <c r="C188">
        <v>0</v>
      </c>
      <c r="D188">
        <v>0</v>
      </c>
      <c r="E188" t="s">
        <v>20</v>
      </c>
      <c r="G188" t="s">
        <v>457</v>
      </c>
      <c r="H188" t="s">
        <v>458</v>
      </c>
      <c r="I188">
        <v>0</v>
      </c>
      <c r="J188">
        <v>0</v>
      </c>
      <c r="K188">
        <v>160</v>
      </c>
      <c r="L188">
        <v>0</v>
      </c>
      <c r="M188">
        <v>160</v>
      </c>
      <c r="N188" t="s">
        <v>653</v>
      </c>
      <c r="P188">
        <v>0</v>
      </c>
      <c r="Q188">
        <v>160</v>
      </c>
    </row>
    <row r="189" spans="1:18" x14ac:dyDescent="0.3">
      <c r="A189">
        <v>457</v>
      </c>
      <c r="B189" t="s">
        <v>459</v>
      </c>
      <c r="C189">
        <v>66</v>
      </c>
      <c r="D189">
        <v>0</v>
      </c>
      <c r="E189" t="s">
        <v>20</v>
      </c>
      <c r="F189" t="s">
        <v>24</v>
      </c>
      <c r="G189" t="s">
        <v>460</v>
      </c>
      <c r="H189" s="5" t="s">
        <v>459</v>
      </c>
      <c r="I189">
        <v>0</v>
      </c>
      <c r="J189">
        <v>0</v>
      </c>
      <c r="K189">
        <v>314</v>
      </c>
      <c r="L189">
        <v>66</v>
      </c>
      <c r="M189">
        <v>248</v>
      </c>
      <c r="N189" t="s">
        <v>760</v>
      </c>
      <c r="P189">
        <v>0</v>
      </c>
      <c r="Q189">
        <v>314</v>
      </c>
    </row>
    <row r="190" spans="1:18" x14ac:dyDescent="0.3">
      <c r="A190">
        <v>458</v>
      </c>
      <c r="B190" t="s">
        <v>461</v>
      </c>
      <c r="C190">
        <v>66</v>
      </c>
      <c r="D190">
        <v>0</v>
      </c>
      <c r="E190" t="s">
        <v>20</v>
      </c>
      <c r="F190" t="s">
        <v>93</v>
      </c>
      <c r="G190" t="s">
        <v>727</v>
      </c>
      <c r="H190"/>
      <c r="I190">
        <v>0</v>
      </c>
      <c r="J190">
        <v>0</v>
      </c>
      <c r="K190">
        <v>314</v>
      </c>
      <c r="L190">
        <v>66</v>
      </c>
      <c r="M190">
        <v>248</v>
      </c>
      <c r="N190" t="s">
        <v>689</v>
      </c>
      <c r="P190">
        <v>0</v>
      </c>
      <c r="Q190">
        <v>314</v>
      </c>
    </row>
    <row r="191" spans="1:18" x14ac:dyDescent="0.3">
      <c r="A191">
        <v>462</v>
      </c>
      <c r="B191" t="s">
        <v>462</v>
      </c>
      <c r="C191">
        <v>252</v>
      </c>
      <c r="D191">
        <v>0</v>
      </c>
      <c r="E191" t="s">
        <v>20</v>
      </c>
      <c r="F191" t="s">
        <v>93</v>
      </c>
      <c r="G191" t="s">
        <v>463</v>
      </c>
      <c r="H191" s="5" t="s">
        <v>464</v>
      </c>
      <c r="I191">
        <v>0</v>
      </c>
      <c r="J191">
        <v>200</v>
      </c>
      <c r="K191">
        <v>514</v>
      </c>
      <c r="L191">
        <v>252</v>
      </c>
      <c r="M191">
        <v>262</v>
      </c>
      <c r="N191" t="s">
        <v>757</v>
      </c>
      <c r="P191">
        <v>200</v>
      </c>
      <c r="Q191">
        <v>514</v>
      </c>
    </row>
    <row r="192" spans="1:18" x14ac:dyDescent="0.3">
      <c r="A192">
        <v>474</v>
      </c>
      <c r="B192" t="s">
        <v>465</v>
      </c>
      <c r="C192">
        <v>4</v>
      </c>
      <c r="D192">
        <v>70</v>
      </c>
      <c r="E192" t="s">
        <v>20</v>
      </c>
      <c r="F192" t="s">
        <v>93</v>
      </c>
      <c r="G192" t="s">
        <v>466</v>
      </c>
      <c r="H192" s="5" t="s">
        <v>467</v>
      </c>
      <c r="I192">
        <v>0</v>
      </c>
      <c r="J192">
        <v>0</v>
      </c>
      <c r="K192">
        <v>314</v>
      </c>
      <c r="L192">
        <v>4</v>
      </c>
      <c r="M192">
        <v>310</v>
      </c>
      <c r="N192" s="1" t="s">
        <v>582</v>
      </c>
      <c r="P192">
        <v>0</v>
      </c>
      <c r="Q192">
        <v>314</v>
      </c>
    </row>
    <row r="193" spans="1:18" x14ac:dyDescent="0.3">
      <c r="A193">
        <v>485</v>
      </c>
      <c r="B193">
        <v>434033</v>
      </c>
      <c r="C193">
        <v>0</v>
      </c>
      <c r="D193">
        <v>0</v>
      </c>
      <c r="E193" t="s">
        <v>20</v>
      </c>
      <c r="F193" t="s">
        <v>93</v>
      </c>
      <c r="G193" t="s">
        <v>700</v>
      </c>
      <c r="H193" s="5" t="s">
        <v>468</v>
      </c>
      <c r="I193">
        <v>0</v>
      </c>
      <c r="J193">
        <v>0</v>
      </c>
      <c r="K193">
        <v>440</v>
      </c>
      <c r="L193">
        <v>0</v>
      </c>
      <c r="M193">
        <v>440</v>
      </c>
      <c r="N193" t="s">
        <v>734</v>
      </c>
      <c r="P193">
        <v>0</v>
      </c>
      <c r="Q193">
        <v>440</v>
      </c>
    </row>
    <row r="194" spans="1:18" x14ac:dyDescent="0.3">
      <c r="A194">
        <v>494</v>
      </c>
      <c r="B194" t="s">
        <v>469</v>
      </c>
      <c r="C194">
        <v>0</v>
      </c>
      <c r="D194">
        <v>75</v>
      </c>
      <c r="E194" t="s">
        <v>20</v>
      </c>
      <c r="F194" t="s">
        <v>24</v>
      </c>
      <c r="G194" t="s">
        <v>701</v>
      </c>
      <c r="H194" s="5" t="s">
        <v>470</v>
      </c>
      <c r="I194">
        <v>0</v>
      </c>
      <c r="J194">
        <v>0</v>
      </c>
      <c r="K194">
        <v>514</v>
      </c>
      <c r="L194">
        <v>0</v>
      </c>
      <c r="M194">
        <v>514</v>
      </c>
      <c r="N194" t="s">
        <v>735</v>
      </c>
      <c r="P194">
        <v>0</v>
      </c>
      <c r="Q194">
        <v>514</v>
      </c>
    </row>
    <row r="195" spans="1:18" x14ac:dyDescent="0.3">
      <c r="A195">
        <v>497</v>
      </c>
      <c r="B195" s="1" t="s">
        <v>471</v>
      </c>
      <c r="C195">
        <v>0</v>
      </c>
      <c r="D195">
        <v>55</v>
      </c>
      <c r="E195" t="s">
        <v>20</v>
      </c>
      <c r="F195" t="s">
        <v>24</v>
      </c>
      <c r="G195" t="s">
        <v>780</v>
      </c>
      <c r="H195" s="5" t="s">
        <v>779</v>
      </c>
      <c r="I195">
        <v>0</v>
      </c>
      <c r="J195">
        <v>0</v>
      </c>
      <c r="K195">
        <v>514</v>
      </c>
      <c r="L195">
        <v>0</v>
      </c>
      <c r="M195">
        <v>514</v>
      </c>
      <c r="N195" t="s">
        <v>781</v>
      </c>
      <c r="P195">
        <v>0</v>
      </c>
      <c r="Q195">
        <v>514</v>
      </c>
    </row>
    <row r="196" spans="1:18" x14ac:dyDescent="0.3">
      <c r="A196">
        <v>506</v>
      </c>
      <c r="B196" t="s">
        <v>472</v>
      </c>
      <c r="C196">
        <v>0</v>
      </c>
      <c r="D196">
        <v>150</v>
      </c>
      <c r="E196" t="s">
        <v>20</v>
      </c>
      <c r="F196" t="s">
        <v>24</v>
      </c>
      <c r="G196" t="s">
        <v>513</v>
      </c>
      <c r="H196" t="s">
        <v>473</v>
      </c>
      <c r="I196">
        <v>0</v>
      </c>
      <c r="J196">
        <v>0</v>
      </c>
      <c r="K196">
        <v>514</v>
      </c>
      <c r="L196">
        <v>0</v>
      </c>
      <c r="M196">
        <v>514</v>
      </c>
      <c r="N196" t="s">
        <v>508</v>
      </c>
      <c r="P196">
        <v>0</v>
      </c>
      <c r="Q196">
        <v>514</v>
      </c>
    </row>
    <row r="197" spans="1:18" x14ac:dyDescent="0.3">
      <c r="A197">
        <v>513</v>
      </c>
      <c r="B197">
        <v>420001</v>
      </c>
      <c r="C197">
        <v>0</v>
      </c>
      <c r="D197">
        <v>0</v>
      </c>
      <c r="E197" t="s">
        <v>20</v>
      </c>
      <c r="F197" t="s">
        <v>93</v>
      </c>
      <c r="G197" t="s">
        <v>702</v>
      </c>
      <c r="H197" s="5" t="s">
        <v>474</v>
      </c>
      <c r="I197">
        <v>0</v>
      </c>
      <c r="J197">
        <v>0</v>
      </c>
      <c r="K197">
        <v>720</v>
      </c>
      <c r="L197">
        <v>0</v>
      </c>
      <c r="M197">
        <v>720</v>
      </c>
      <c r="N197" t="s">
        <v>736</v>
      </c>
      <c r="P197">
        <v>0</v>
      </c>
      <c r="Q197">
        <v>720</v>
      </c>
    </row>
    <row r="198" spans="1:18" x14ac:dyDescent="0.3">
      <c r="A198">
        <v>530</v>
      </c>
      <c r="B198" t="s">
        <v>475</v>
      </c>
      <c r="C198">
        <v>0</v>
      </c>
      <c r="D198">
        <v>0</v>
      </c>
      <c r="E198" t="s">
        <v>20</v>
      </c>
      <c r="F198" t="s">
        <v>93</v>
      </c>
      <c r="G198" t="s">
        <v>476</v>
      </c>
      <c r="H198"/>
      <c r="I198">
        <v>0</v>
      </c>
      <c r="J198">
        <v>825</v>
      </c>
      <c r="K198">
        <v>2056</v>
      </c>
      <c r="L198">
        <v>0</v>
      </c>
      <c r="M198">
        <v>2056</v>
      </c>
      <c r="N198" t="s">
        <v>737</v>
      </c>
      <c r="O198">
        <v>825</v>
      </c>
      <c r="P198">
        <v>0</v>
      </c>
      <c r="Q198">
        <v>1231</v>
      </c>
      <c r="R198">
        <v>71</v>
      </c>
    </row>
  </sheetData>
  <autoFilter ref="A1:S198" xr:uid="{19AE43C8-EED6-4D96-9CB0-CD50A471294F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Marquis McBride</dc:creator>
  <cp:lastModifiedBy>Eric Ortiz</cp:lastModifiedBy>
  <dcterms:created xsi:type="dcterms:W3CDTF">2025-11-18T17:45:51Z</dcterms:created>
  <dcterms:modified xsi:type="dcterms:W3CDTF">2025-12-05T23:23:08Z</dcterms:modified>
</cp:coreProperties>
</file>