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lanindustriesinc-my.sharepoint.com/personal/eortiz_elanindustries_com/Documents/LocalCopySaves/CopiesOfBOMinfo/SF-TechCopies/12-02-2025/"/>
    </mc:Choice>
  </mc:AlternateContent>
  <xr:revisionPtr revIDLastSave="855" documentId="8_{D022B3FC-5390-4A23-8B15-C493E37A4E9B}" xr6:coauthVersionLast="47" xr6:coauthVersionMax="47" xr10:uidLastSave="{F2F73A53-6C3F-416C-9D26-4178F4D6F905}"/>
  <bookViews>
    <workbookView xWindow="57480" yWindow="1650" windowWidth="29040" windowHeight="15720" xr2:uid="{D83C32E6-FF6A-4A3E-A782-2A9047390349}"/>
  </bookViews>
  <sheets>
    <sheet name="Engineering" sheetId="1" r:id="rId1"/>
  </sheets>
  <definedNames>
    <definedName name="_xlnm._FilterDatabase" localSheetId="0" hidden="1">Engineering!$A$11:$Q$207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Ortiz</author>
    <author>tc={115B1368-0437-4F15-8AD5-4A735A92213A}</author>
    <author>tc={041874A1-7131-4EA6-A299-47BA430C0582}</author>
    <author>tc={5A90523B-3C04-4181-89FC-E5366373E555}</author>
  </authors>
  <commentList>
    <comment ref="L20" authorId="0" shapeId="0" xr:uid="{68742223-BA21-4EB3-937A-1F510929D604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Discontinued</t>
        </r>
      </text>
    </comment>
    <comment ref="C22" authorId="0" shapeId="0" xr:uid="{8066EB0D-CA79-4FFF-8DE1-C11479809DE9}">
      <text>
        <r>
          <rPr>
            <b/>
            <sz val="9"/>
            <color indexed="81"/>
            <rFont val="Tahoma"/>
            <charset val="1"/>
          </rPr>
          <t>Eric Ortiz:</t>
        </r>
        <r>
          <rPr>
            <sz val="9"/>
            <color indexed="81"/>
            <rFont val="Tahoma"/>
            <charset val="1"/>
          </rPr>
          <t xml:space="preserve">
the part number this points to in the items is a different package. The one in the items list is avaible</t>
        </r>
      </text>
    </comment>
    <comment ref="L22" authorId="0" shapeId="0" xr:uid="{E4A3D83F-A51A-426E-97C4-9328676D368A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Obsolete
</t>
        </r>
      </text>
    </comment>
    <comment ref="L39" authorId="0" shapeId="0" xr:uid="{C757EF9C-2E62-40D5-BFE6-E7FBC5664B4D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Cant find online</t>
        </r>
      </text>
    </comment>
    <comment ref="C41" authorId="0" shapeId="0" xr:uid="{FC4231E6-E7D4-4CF6-A44F-2E0D97199FEA}">
      <text>
        <r>
          <rPr>
            <b/>
            <sz val="9"/>
            <color indexed="81"/>
            <rFont val="Tahoma"/>
            <charset val="1"/>
          </rPr>
          <t>Eric Ortiz:</t>
        </r>
        <r>
          <rPr>
            <sz val="9"/>
            <color indexed="81"/>
            <rFont val="Tahoma"/>
            <charset val="1"/>
          </rPr>
          <t xml:space="preserve">
I cant find a direct substitue for this part</t>
        </r>
      </text>
    </comment>
    <comment ref="L41" authorId="0" shapeId="0" xr:uid="{956AECC5-18F7-4578-B3CF-DC3A9F65A53E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Obsolete
</t>
        </r>
      </text>
    </comment>
    <comment ref="C53" authorId="0" shapeId="0" xr:uid="{D516506F-6643-498E-A31D-40CB413169F3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need to find Tape and reel version </t>
        </r>
      </text>
    </comment>
    <comment ref="L75" authorId="0" shapeId="0" xr:uid="{0A1EE571-A291-4C38-A22F-79D58C372F05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this substitute is 6A 125V not 8A, due to all avaible direct substitutes being out of stock</t>
        </r>
      </text>
    </comment>
    <comment ref="L81" authorId="1" shapeId="0" xr:uid="{115B1368-0437-4F15-8AD5-4A735A92213A}">
      <text>
        <t>[Threaded comment]
Your version of Excel allows you to read this threaded comment; however, any edits to it will get removed if the file is opened in a newer version of Excel. Learn more: https://go.microsoft.com/fwlink/?linkid=870924
Comment:
    Obsolete
Reply:
    Need to order from Arrow</t>
      </text>
    </comment>
    <comment ref="C117" authorId="0" shapeId="0" xr:uid="{2D1FB71B-D674-416A-9D41-D550CD0F5557}">
      <text>
        <r>
          <rPr>
            <b/>
            <sz val="9"/>
            <color indexed="81"/>
            <rFont val="Tahoma"/>
            <charset val="1"/>
          </rPr>
          <t>Eric Ortiz:</t>
        </r>
        <r>
          <rPr>
            <sz val="9"/>
            <color indexed="81"/>
            <rFont val="Tahoma"/>
            <charset val="1"/>
          </rPr>
          <t xml:space="preserve">
No Direct Substitute
</t>
        </r>
      </text>
    </comment>
    <comment ref="L117" authorId="0" shapeId="0" xr:uid="{5FC26B46-FC13-467D-BD37-2A1FE856A1DA}">
      <text>
        <r>
          <rPr>
            <b/>
            <sz val="9"/>
            <color indexed="81"/>
            <rFont val="Tahoma"/>
            <charset val="1"/>
          </rPr>
          <t>Eric Ortiz: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118" authorId="2" shapeId="0" xr:uid="{041874A1-7131-4EA6-A299-47BA430C0582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to buy?</t>
      </text>
    </comment>
    <comment ref="C119" authorId="0" shapeId="0" xr:uid="{CEAD1EE5-B0EF-4919-B3B2-2D612016A7EA}">
      <text>
        <r>
          <rPr>
            <b/>
            <sz val="9"/>
            <color indexed="81"/>
            <rFont val="Tahoma"/>
            <charset val="1"/>
          </rPr>
          <t>Eric Ortiz:</t>
        </r>
        <r>
          <rPr>
            <sz val="9"/>
            <color indexed="81"/>
            <rFont val="Tahoma"/>
            <charset val="1"/>
          </rPr>
          <t xml:space="preserve">
FPGA</t>
        </r>
      </text>
    </comment>
    <comment ref="L144" authorId="3" shapeId="0" xr:uid="{5A90523B-3C04-4181-89FC-E5366373E555}">
      <text>
        <t>[Threaded comment]
Your version of Excel allows you to read this threaded comment; however, any edits to it will get removed if the file is opened in a newer version of Excel. Learn more: https://go.microsoft.com/fwlink/?linkid=870924
Comment:
    Obsolete</t>
      </text>
    </comment>
    <comment ref="L153" authorId="0" shapeId="0" xr:uid="{6784EBE1-E00F-4C43-AE5A-DC62A3B7C9C7}">
      <text>
        <r>
          <rPr>
            <b/>
            <sz val="9"/>
            <color indexed="81"/>
            <rFont val="Tahoma"/>
            <charset val="1"/>
          </rPr>
          <t>Eric Ortiz:</t>
        </r>
        <r>
          <rPr>
            <sz val="9"/>
            <color indexed="81"/>
            <rFont val="Tahoma"/>
            <charset val="1"/>
          </rPr>
          <t xml:space="preserve">
doug thinks the 14 pin header would work for this</t>
        </r>
      </text>
    </comment>
  </commentList>
</comments>
</file>

<file path=xl/sharedStrings.xml><?xml version="1.0" encoding="utf-8"?>
<sst xmlns="http://schemas.openxmlformats.org/spreadsheetml/2006/main" count="1838" uniqueCount="912">
  <si>
    <t>NPR #:</t>
  </si>
  <si>
    <t>NPR_Master2023_v4</t>
  </si>
  <si>
    <t>ECN #:</t>
  </si>
  <si>
    <t xml:space="preserve"> </t>
  </si>
  <si>
    <t>PROJECT #:</t>
  </si>
  <si>
    <t>PROJECT NAME:</t>
  </si>
  <si>
    <t>DATE:</t>
  </si>
  <si>
    <t>AUTHOR:</t>
  </si>
  <si>
    <t xml:space="preserve">Part Number </t>
  </si>
  <si>
    <t>Part Status (new / exists)</t>
  </si>
  <si>
    <t>Item Description</t>
  </si>
  <si>
    <t>Custom Fields- SMT, TH, Process, Assembly,PCB, Mechanical</t>
  </si>
  <si>
    <t>Preferred Part</t>
  </si>
  <si>
    <t>Unit Cost</t>
  </si>
  <si>
    <t>Default Units of Measure</t>
  </si>
  <si>
    <t>Stock Unit-EA, ml, ounce, gram</t>
  </si>
  <si>
    <t>per</t>
  </si>
  <si>
    <t>Purchase Unit</t>
  </si>
  <si>
    <t xml:space="preserve">Manufacturer Name </t>
  </si>
  <si>
    <t>Manufacturer Part #</t>
  </si>
  <si>
    <t>Supplier</t>
  </si>
  <si>
    <t>Lead Time (WKS)</t>
  </si>
  <si>
    <t>QC Required</t>
  </si>
  <si>
    <t>TARIFF CODE (HTSUS)</t>
  </si>
  <si>
    <t>Quote Number (Attach a Copy)</t>
  </si>
  <si>
    <t>New</t>
  </si>
  <si>
    <t>EA</t>
  </si>
  <si>
    <t>DigiKey</t>
  </si>
  <si>
    <t>02-10010-A001</t>
  </si>
  <si>
    <t>Nut,X,2-56,18-8-S</t>
  </si>
  <si>
    <t>N3505-2B</t>
  </si>
  <si>
    <t>Fastener superstore</t>
  </si>
  <si>
    <t>28-10245-A001</t>
  </si>
  <si>
    <t>8538.90.8180</t>
  </si>
  <si>
    <t>Connector Ejector Latch, Short For 3000 Series</t>
  </si>
  <si>
    <t>Bivar Inc.</t>
  </si>
  <si>
    <t>9913-375</t>
  </si>
  <si>
    <t>3926.90.9989</t>
  </si>
  <si>
    <t>3M</t>
  </si>
  <si>
    <t>9913-125</t>
  </si>
  <si>
    <t>Spacer,Round,Nylon,3/8",#2</t>
  </si>
  <si>
    <t>Spacer,Round,Nylon,1/8",#2</t>
  </si>
  <si>
    <t>43-10049-A001</t>
  </si>
  <si>
    <t>43-10050-A001</t>
  </si>
  <si>
    <t>FC-1312</t>
  </si>
  <si>
    <t>06-10056-220K</t>
  </si>
  <si>
    <t>RES 220K 5% 1/16W 0402 RoHS</t>
  </si>
  <si>
    <t>Panasonic Electronic Components</t>
  </si>
  <si>
    <t>ERJ-2GEJ224X</t>
  </si>
  <si>
    <t>8533.21.0030</t>
  </si>
  <si>
    <t>HY-850-005-005</t>
  </si>
  <si>
    <t>06-10004-510R</t>
  </si>
  <si>
    <t>RES TF 1/10W 510R 5% 0603 RoHS</t>
  </si>
  <si>
    <t>SMT</t>
  </si>
  <si>
    <t>HY-850-001-109</t>
  </si>
  <si>
    <t>21-10110-0104</t>
  </si>
  <si>
    <t>CAP CER 0.1UF 16V 10% X7R 0402</t>
  </si>
  <si>
    <t>YAGEO</t>
  </si>
  <si>
    <t>8532.24.0020</t>
  </si>
  <si>
    <t>HY-200-004-002</t>
  </si>
  <si>
    <t>21-10038-0471</t>
  </si>
  <si>
    <t>CAP MONO 470pF/50V 10% X7R 0603 RoHS</t>
  </si>
  <si>
    <t>SMT-TR-4000</t>
  </si>
  <si>
    <t>HY-200-003-055</t>
  </si>
  <si>
    <t>06-10002-33K2</t>
  </si>
  <si>
    <t>RES 33.2K 1% 1/10W 0603</t>
  </si>
  <si>
    <t>RC33.2R110</t>
  </si>
  <si>
    <t>06-10002-10R0</t>
  </si>
  <si>
    <t>RES 10R 5% 1/10W 0603</t>
  </si>
  <si>
    <t>SMT-TR-5000</t>
  </si>
  <si>
    <t>HY-850-001-117</t>
  </si>
  <si>
    <t>CAP CER 4700PF 50V 10% X7R 0805</t>
  </si>
  <si>
    <t>FC-1200</t>
  </si>
  <si>
    <t>06-10009-1K30</t>
  </si>
  <si>
    <t>RES 1.30K OHM 1/8W 1% 0805 RoHS</t>
  </si>
  <si>
    <t>Vishay Dale</t>
  </si>
  <si>
    <t>IT-347</t>
  </si>
  <si>
    <t>06-10002-3K30</t>
  </si>
  <si>
    <t>RES TF 1/10W 3K3 1% 0603 RoHS</t>
  </si>
  <si>
    <t>HY-850-001-110</t>
  </si>
  <si>
    <t>06-10009-5K60</t>
  </si>
  <si>
    <t>RES SMD 5.6K OHM 1% 1/8W 0805</t>
  </si>
  <si>
    <t>RC0805JR-075K6L</t>
  </si>
  <si>
    <t>FC-1215</t>
  </si>
  <si>
    <t>06-10009-3K92</t>
  </si>
  <si>
    <t>RES 3.92K OHM 1/8W 1% 0805 RoHS</t>
  </si>
  <si>
    <t>ERJ-6ENF3921V</t>
  </si>
  <si>
    <t>GY-02-0002-56-6</t>
  </si>
  <si>
    <t>06-10009-2K21</t>
  </si>
  <si>
    <t>RES 2.21K OHM 1% 1/8W 0805 RoHS</t>
  </si>
  <si>
    <t>CRCW08052K21FKEA</t>
  </si>
  <si>
    <t>FC-1244</t>
  </si>
  <si>
    <t>06-10009-4K70</t>
  </si>
  <si>
    <t>RES 4.7K 5% 1/8W 0805 RoHS</t>
  </si>
  <si>
    <t>NIC Components Corp</t>
  </si>
  <si>
    <t>HY-36</t>
  </si>
  <si>
    <t>06-10007-2K20</t>
  </si>
  <si>
    <t>RES SMD 2.2K OHM 0.1% 1/8W 0805 RoHS</t>
  </si>
  <si>
    <t>ERA-6AEB222V</t>
  </si>
  <si>
    <t>FC-2039</t>
  </si>
  <si>
    <t>48-10481-A001</t>
  </si>
  <si>
    <t>XTAL 12.0000MHZ 18PF 4-SMD RoHS</t>
  </si>
  <si>
    <t>Abracon LLC</t>
  </si>
  <si>
    <t xml:space="preserve">ABM8-12.000MHZ-B2-T </t>
  </si>
  <si>
    <t>8541.60.0050</t>
  </si>
  <si>
    <t>HY-300-001-021</t>
  </si>
  <si>
    <t>06-10009-5K10</t>
  </si>
  <si>
    <t>RES SMD 5.1K OHM 1% 1/8W 0805</t>
  </si>
  <si>
    <t>ERJ-6ENF5101V</t>
  </si>
  <si>
    <t>FC-1212</t>
  </si>
  <si>
    <t>48-10077-A001</t>
  </si>
  <si>
    <t>Exists</t>
  </si>
  <si>
    <t>DIODE ZENER 3.3V Z5226 SOD-123 RoHS</t>
  </si>
  <si>
    <t>SMT - TR - 3000</t>
  </si>
  <si>
    <t>onsemi</t>
  </si>
  <si>
    <t>MMSZ5226BT1G</t>
  </si>
  <si>
    <t>8541.10.0050</t>
  </si>
  <si>
    <t>DSZ5226Z</t>
  </si>
  <si>
    <t>21-10020-0101</t>
  </si>
  <si>
    <t>CAP MONO 100PF/50V 10% X7R 0805 RoHS</t>
  </si>
  <si>
    <t>KEMET</t>
  </si>
  <si>
    <t>C0805C101K5RACTU</t>
  </si>
  <si>
    <t>FC-1201</t>
  </si>
  <si>
    <t>06-10009-15K4</t>
  </si>
  <si>
    <t>RES SMD 15.4K OHM 1% 1/8W 0805 RoHS</t>
  </si>
  <si>
    <t>ERJ-6ENF1542V</t>
  </si>
  <si>
    <t>FC-1213</t>
  </si>
  <si>
    <t>21-10055-0221</t>
  </si>
  <si>
    <t>CAP CER 220PF 100V 5% NP0 0805</t>
  </si>
  <si>
    <t>C0805C221J1GACTU</t>
  </si>
  <si>
    <t>FC-1202</t>
  </si>
  <si>
    <t>TVS 400W 40A UNIDIRECT SMA</t>
  </si>
  <si>
    <t>Littelfuse Inc.</t>
  </si>
  <si>
    <t>SMAJ5.0A</t>
  </si>
  <si>
    <t>8541.10.0080</t>
  </si>
  <si>
    <t>WE-CR100632</t>
  </si>
  <si>
    <t>21-10020-0104</t>
  </si>
  <si>
    <t>CAP MONO 0.1UF 50V 10% X7R 0805 RoHS</t>
  </si>
  <si>
    <t>C0805C104K5RACTU</t>
  </si>
  <si>
    <t>DYNE-26</t>
  </si>
  <si>
    <t>06-10123-15R0</t>
  </si>
  <si>
    <t>RES SMD 15 OHM 1% 1/4W 0805</t>
  </si>
  <si>
    <t>Stackpole Electronics Inc</t>
  </si>
  <si>
    <t>RNCP0805FTD15R0</t>
  </si>
  <si>
    <t>FC-1214</t>
  </si>
  <si>
    <t>84-20084-00X1</t>
  </si>
  <si>
    <t>Speedometer Correction PC Board</t>
  </si>
  <si>
    <t>650-089-012</t>
  </si>
  <si>
    <t>HY-650-089-012</t>
  </si>
  <si>
    <t>40-10042-A001</t>
  </si>
  <si>
    <t>SWITCH TACTILE SPST-NO 0.05A 32V</t>
  </si>
  <si>
    <t>C&amp;K</t>
  </si>
  <si>
    <t xml:space="preserve">KSC421J70SHLFS </t>
  </si>
  <si>
    <t>8536.50.9031</t>
  </si>
  <si>
    <t>HY-500-003-017</t>
  </si>
  <si>
    <t>48-10483-A001</t>
  </si>
  <si>
    <t>MOSFET N-CH DUAL 25V SC70-6</t>
  </si>
  <si>
    <t>FDG6303N</t>
  </si>
  <si>
    <t>HY-950-001-009</t>
  </si>
  <si>
    <t>72-10041-A001</t>
  </si>
  <si>
    <t>LCD 2 x 16 DISPLAY WITH BACKLIGHT</t>
  </si>
  <si>
    <t>T/H</t>
  </si>
  <si>
    <t>AWC-S16201FYHSAY</t>
  </si>
  <si>
    <t>HY-400-002-012</t>
  </si>
  <si>
    <t>21-10049-0223</t>
  </si>
  <si>
    <t>CAP CER 0.022UF 50V 5% NP0 0805</t>
  </si>
  <si>
    <t>Murata Electronics</t>
  </si>
  <si>
    <t>GCM21B5C1H223JA16L</t>
  </si>
  <si>
    <t>MSS-1056</t>
  </si>
  <si>
    <t>21-10059-0106</t>
  </si>
  <si>
    <t>CAP MONO 10uF/50V 10% X7R 1206 RoHS</t>
  </si>
  <si>
    <t>Samsung Electro-Mechanics</t>
  </si>
  <si>
    <t>CL31A106KBHNNNE</t>
  </si>
  <si>
    <t>FC-1204</t>
  </si>
  <si>
    <t>09-10073-A001</t>
  </si>
  <si>
    <t>CONN RCPT .100" 1POS SNGL TIN</t>
  </si>
  <si>
    <t>Samtec Inc.</t>
  </si>
  <si>
    <t>SLW-101-01-T-S</t>
  </si>
  <si>
    <t>8536.69.4040</t>
  </si>
  <si>
    <t>HY-900-001-039</t>
  </si>
  <si>
    <t>15-10124-C00A</t>
  </si>
  <si>
    <t>Cover, 500-007-067A, Black Plastic, for P80</t>
  </si>
  <si>
    <t>500-007-067A</t>
  </si>
  <si>
    <t>HY-500-007-067A</t>
  </si>
  <si>
    <t>15-10124-000A</t>
  </si>
  <si>
    <t>Housing, 500-007-067B, Black Plastic, for P80</t>
  </si>
  <si>
    <t>500-007-067B</t>
  </si>
  <si>
    <t>HY-500-007-067B</t>
  </si>
  <si>
    <t>15-10126-0000</t>
  </si>
  <si>
    <t>Button, 500-007-068, Gray, Up/Down</t>
  </si>
  <si>
    <t>500-007-068</t>
  </si>
  <si>
    <t>HY-500-007-068</t>
  </si>
  <si>
    <t>15-10127-0000</t>
  </si>
  <si>
    <t>Button, 500-007-069, Gray, Yes/No</t>
  </si>
  <si>
    <t>500-007-069</t>
  </si>
  <si>
    <t>HY-500-007-069</t>
  </si>
  <si>
    <t>09-10073-A014</t>
  </si>
  <si>
    <t>CONN RCPT .100" 14POS SNGL TIN</t>
  </si>
  <si>
    <t>SLW-114-01-T-S</t>
  </si>
  <si>
    <t>HY-900-001-038</t>
  </si>
  <si>
    <t>48-10477-A001</t>
  </si>
  <si>
    <t>DIODE SCHTKY B350A 50V 3A SMA RoHS</t>
  </si>
  <si>
    <t>Diodes Incorporated</t>
  </si>
  <si>
    <t>B350A-13-F</t>
  </si>
  <si>
    <t>FC-1216</t>
  </si>
  <si>
    <t>51-10620-A002</t>
  </si>
  <si>
    <t>IC SN74LVC1G125 BUS BUFF TRI-ST NON-INV SOT23-5 RoHS</t>
  </si>
  <si>
    <t>Texas Instruments</t>
  </si>
  <si>
    <t>SN74LVC1G125DBVR</t>
  </si>
  <si>
    <t>8542.39.0070</t>
  </si>
  <si>
    <t>HY-750-001-013</t>
  </si>
  <si>
    <t>48-10478-A001</t>
  </si>
  <si>
    <t>DIODE US1A 50V 1A SMA RoHS</t>
  </si>
  <si>
    <t>US1A-13-F</t>
  </si>
  <si>
    <t>FC-1217</t>
  </si>
  <si>
    <t>23-10163-0225</t>
  </si>
  <si>
    <t xml:space="preserve">CAP 2.2uF 10V 10%, A Size </t>
  </si>
  <si>
    <t>T491A225K010AT</t>
  </si>
  <si>
    <t>8532.21.0050</t>
  </si>
  <si>
    <t>WE-CC000014</t>
  </si>
  <si>
    <t>23-10171-0227</t>
  </si>
  <si>
    <t>CAP ALUM 220UF 20% 35V SMD 10MMD 10.2MMH 10.33MMLS RoHS</t>
  </si>
  <si>
    <t>EEE-1VA221P</t>
  </si>
  <si>
    <t>Mouser</t>
  </si>
  <si>
    <t>8532.22.0020</t>
  </si>
  <si>
    <t>VT-1005</t>
  </si>
  <si>
    <t>15-10125-0000</t>
  </si>
  <si>
    <t>Enclosure, 500-007-080, Top &amp; Bottom  Red</t>
  </si>
  <si>
    <t>500-007-080</t>
  </si>
  <si>
    <t>HY-500-007-080</t>
  </si>
  <si>
    <t>40-10043-A001</t>
  </si>
  <si>
    <t>SWITCH TACTILE SPST-NO 0.05A 12V</t>
  </si>
  <si>
    <t>E-Switch</t>
  </si>
  <si>
    <t>TL3301NF160QG-KR</t>
  </si>
  <si>
    <t>FC-2046</t>
  </si>
  <si>
    <t>23-10169-0106</t>
  </si>
  <si>
    <t>CAP TANT 10UF 20% 35V 2312</t>
  </si>
  <si>
    <t>T491C106M035AT</t>
  </si>
  <si>
    <t>FC-2038</t>
  </si>
  <si>
    <t>CAP ALUM 22UF 20% 35V SMD 6.3MMD 5.8MMH 6.6MMLS RoHS</t>
  </si>
  <si>
    <t>EEE-HD1V220AP</t>
  </si>
  <si>
    <t>VT-1006</t>
  </si>
  <si>
    <t>21-10020-0224</t>
  </si>
  <si>
    <t>FC-1203</t>
  </si>
  <si>
    <t>48-10019-A004</t>
  </si>
  <si>
    <t>DIODE SCHTKY BAT54C 30V 200MA SOT-23-3 RoHS</t>
  </si>
  <si>
    <t>BAT54C-7-F</t>
  </si>
  <si>
    <t>8541.10.0070</t>
  </si>
  <si>
    <t>GY-08-0000-44-0</t>
  </si>
  <si>
    <t>21-10136-0104</t>
  </si>
  <si>
    <t>CAP CER 0.1uF 50V COG/NOP 1206</t>
  </si>
  <si>
    <t>GCM31C5C1H104FA16L</t>
  </si>
  <si>
    <t>FC-2047</t>
  </si>
  <si>
    <t>23-10171-0107</t>
  </si>
  <si>
    <t>CAP ALUM 100UF 20% 16V SMD 5MMD 6.1MMH 5.3MMLS RoHS</t>
  </si>
  <si>
    <t>FC-1206</t>
  </si>
  <si>
    <t>28-10020-B005</t>
  </si>
  <si>
    <t>CONN HEADER VERT 5POS 2.54MM TIN RoHS</t>
  </si>
  <si>
    <t>Sullins Connector Solutions</t>
  </si>
  <si>
    <t>PREC005SAAN-RC</t>
  </si>
  <si>
    <t>FC-2044</t>
  </si>
  <si>
    <t>28-10020-B003</t>
  </si>
  <si>
    <t>CONN HEADER VERT 3POS 2.54MM TIN RoHS</t>
  </si>
  <si>
    <t>PREC003SAAN-RC</t>
  </si>
  <si>
    <t>FC-2045</t>
  </si>
  <si>
    <t>23-10172-0106</t>
  </si>
  <si>
    <t>CAP ALUM 10UF 20% 100V SMD 8MMD 10.5MMH 8.3MMLS RoHS</t>
  </si>
  <si>
    <t>Nichicon</t>
  </si>
  <si>
    <t>UUX2A100MNL1GS</t>
  </si>
  <si>
    <t>VT-1007</t>
  </si>
  <si>
    <t>06-10009-133R</t>
  </si>
  <si>
    <t>RES SMD 133 OHM 1% 1/8W 0805 RoHS</t>
  </si>
  <si>
    <t>ERJ-6ENF1330V</t>
  </si>
  <si>
    <t>FC-1209</t>
  </si>
  <si>
    <t>51-10621-A001</t>
  </si>
  <si>
    <t>IC LPC2366 ARM7 MCU FLASH 256K 100LQFP RoHS</t>
  </si>
  <si>
    <t>SMT- 90 PER TRAY</t>
  </si>
  <si>
    <t>NXP USA Inc.</t>
  </si>
  <si>
    <t>LPC2366FBD100K</t>
  </si>
  <si>
    <t>HY-750-001-091</t>
  </si>
  <si>
    <t>65-10029-B001</t>
  </si>
  <si>
    <t>PTC RESTTBLE 0.25A 24V CHIP 1206</t>
  </si>
  <si>
    <t>Bel Fuse Inc.</t>
  </si>
  <si>
    <t>0ZCJ0025AF2E</t>
  </si>
  <si>
    <t>8542.31.0020</t>
  </si>
  <si>
    <t>FC-1207</t>
  </si>
  <si>
    <t>06-10009-120R</t>
  </si>
  <si>
    <t>RES SMD 120 OHM 1% 1/8W 0805 RoHS</t>
  </si>
  <si>
    <t>ERJ-6ENF1200V</t>
  </si>
  <si>
    <t>FC-1211</t>
  </si>
  <si>
    <t>06-10134-3R30</t>
  </si>
  <si>
    <t>RES SMD 3.3 OHM 5% 1/2W 1206</t>
  </si>
  <si>
    <t>CRCW12063R30JNEAHP</t>
  </si>
  <si>
    <t>FC-1208</t>
  </si>
  <si>
    <t>06-10028-110R</t>
  </si>
  <si>
    <t>RES 110 OHM 1W 5% 2512</t>
  </si>
  <si>
    <t>RMCF2512JT110R</t>
  </si>
  <si>
    <t>HY-850-001-205</t>
  </si>
  <si>
    <t>48-10476-A001</t>
  </si>
  <si>
    <t>MOSFET SI4288DY 2N-CH 40V 9.2A 8SOIC RoHS</t>
  </si>
  <si>
    <t>Vishay Siliconix</t>
  </si>
  <si>
    <t>SI4288DY-T1-GE3</t>
  </si>
  <si>
    <t>8541.29.0095</t>
  </si>
  <si>
    <t>FC-1231</t>
  </si>
  <si>
    <t>48-10482-A001</t>
  </si>
  <si>
    <t>MOSFET ZXMP6A13FTA P-CH 60V 900MA SOT23-3 RoHS</t>
  </si>
  <si>
    <t>ZXMP6A13FTA</t>
  </si>
  <si>
    <t>8541.21.0095</t>
  </si>
  <si>
    <t>FC-1221</t>
  </si>
  <si>
    <t>65-10084-A001</t>
  </si>
  <si>
    <t>FUSE FAST BLO GLASS 8A 125VAC 2AG 5x15MM RoHS</t>
  </si>
  <si>
    <t>FC-1241</t>
  </si>
  <si>
    <t>23-10153-0106</t>
  </si>
  <si>
    <t>CAP TANT 10UF 10% 16V 1411 RoHS</t>
  </si>
  <si>
    <t>T491B106K016AT</t>
  </si>
  <si>
    <t>WE-CC000033</t>
  </si>
  <si>
    <t>54-10091-0000</t>
  </si>
  <si>
    <t>Decal, 500-007-082, Rough Country</t>
  </si>
  <si>
    <t>500-007-082</t>
  </si>
  <si>
    <t>HY-500-007-082</t>
  </si>
  <si>
    <t>84-20085-00X1</t>
  </si>
  <si>
    <t>PCB   6502 MAIN</t>
  </si>
  <si>
    <t>USTX26954</t>
  </si>
  <si>
    <t>51-10601-A001</t>
  </si>
  <si>
    <t>IC, Improved, 8-Channel/Dual 4-Channel,</t>
  </si>
  <si>
    <t>SMT-TR-2500</t>
  </si>
  <si>
    <t>???</t>
  </si>
  <si>
    <t>HY-16</t>
  </si>
  <si>
    <t>06-10135-1K00</t>
  </si>
  <si>
    <t>RES ARRAY 1K OHM 4 RES 2012</t>
  </si>
  <si>
    <t>YC324-JK-071KL</t>
  </si>
  <si>
    <t>FC-1308</t>
  </si>
  <si>
    <t>48-10469-A001</t>
  </si>
  <si>
    <t>Oscillator, 48.000 MHZ Clock Oscillator, 5V, 50ppm, SMD,7.5X5mm package</t>
  </si>
  <si>
    <t>Arrow</t>
  </si>
  <si>
    <t>ASL-48.000MHZ-ECS-50</t>
  </si>
  <si>
    <t>WE-CU014014</t>
  </si>
  <si>
    <t>06-10042-49R9</t>
  </si>
  <si>
    <t>RES 49.9 OHM 1/4W 1% CF</t>
  </si>
  <si>
    <t>Royalohm</t>
  </si>
  <si>
    <t>MF0W4FF499JB00</t>
  </si>
  <si>
    <t>48-10411-A001</t>
  </si>
  <si>
    <t>LED GREEN CLEAR 0805 SMD</t>
  </si>
  <si>
    <t>Kingbright</t>
  </si>
  <si>
    <t>APT2012CGCK</t>
  </si>
  <si>
    <t>8541.41.0000</t>
  </si>
  <si>
    <t>FC-2049</t>
  </si>
  <si>
    <t>28-10237-A004</t>
  </si>
  <si>
    <t>TERM BLOCK HDR 4POS DUAL LEVEL 3.81MM RA TH RoHS</t>
  </si>
  <si>
    <t>Phoenix Contact</t>
  </si>
  <si>
    <t>FC-1236</t>
  </si>
  <si>
    <t>28-10174-A004</t>
  </si>
  <si>
    <t>TERM, BLOCK, HDR, 4POS, 3.81MM, 90DEG, RoHS</t>
  </si>
  <si>
    <t>FC-1240</t>
  </si>
  <si>
    <t>09-10057-A040</t>
  </si>
  <si>
    <t>Conn Receptacle 40 Pos 0.100" (2.54mm) Tin</t>
  </si>
  <si>
    <t>Harwin Inc.</t>
  </si>
  <si>
    <t>M20-7832046</t>
  </si>
  <si>
    <t>FC-1233</t>
  </si>
  <si>
    <t>31-10019-A004</t>
  </si>
  <si>
    <t>TERM, BLOCK, SCREW, 90DEG, 3.81mmLS, 10A, TH, 4P, RoHS</t>
  </si>
  <si>
    <t>Amphenol Anytek</t>
  </si>
  <si>
    <t>YO0421500000G</t>
  </si>
  <si>
    <t>8536.90.4000</t>
  </si>
  <si>
    <t>FC-2043</t>
  </si>
  <si>
    <t>09-10074-A001</t>
  </si>
  <si>
    <t>CONN, SHUNT, 2P, 0.1, ROHS</t>
  </si>
  <si>
    <t>QPC02SXGN-RC</t>
  </si>
  <si>
    <t>FC-2051</t>
  </si>
  <si>
    <t>31-10019-A005</t>
  </si>
  <si>
    <t>TERM, BLOCK, SCREW, 90DEG, 3.81mmLS, 10A, TH, 5P, RoHS</t>
  </si>
  <si>
    <t>FC-1115</t>
  </si>
  <si>
    <t>84-20079-00X1</t>
  </si>
  <si>
    <t>RAW BOARD 57-4836 Rev D</t>
  </si>
  <si>
    <t>FC-PCB574836D</t>
  </si>
  <si>
    <t>51-10622-A001</t>
  </si>
  <si>
    <t>IC REG LDO 9V 500MA DPAK RoHS</t>
  </si>
  <si>
    <t>KA7809ERTM (New MC78M09CDTRKG)</t>
  </si>
  <si>
    <t>8542.39.0090</t>
  </si>
  <si>
    <t>FC-1222</t>
  </si>
  <si>
    <t>28-10179-B002</t>
  </si>
  <si>
    <t>TERM BLOCK PLUG 2POS STR 5.08MM BLACK RoHS</t>
  </si>
  <si>
    <t>Weidmüller</t>
  </si>
  <si>
    <t>VT-1002</t>
  </si>
  <si>
    <t xml:space="preserve">28-10237-A008 </t>
  </si>
  <si>
    <t>TERM BLOCK HDR 8POS R/A 3.81MM</t>
  </si>
  <si>
    <t>FC-1239</t>
  </si>
  <si>
    <t>51-10151-A001</t>
  </si>
  <si>
    <t>IC 74HCT14 HEX SCHMITT-TRIG 6CH INV 14-SOIC RoHS</t>
  </si>
  <si>
    <t>SN74HCT14DR</t>
  </si>
  <si>
    <t>FC-1228</t>
  </si>
  <si>
    <t>24-10109-A001</t>
  </si>
  <si>
    <t>IND FIXED 47UH 2A 130 MOHM SMT RoHS</t>
  </si>
  <si>
    <t>Sumida America Components Inc.</t>
  </si>
  <si>
    <t>CDRH105RNP-470NC</t>
  </si>
  <si>
    <t>8504.50.4000</t>
  </si>
  <si>
    <t>FC-1223</t>
  </si>
  <si>
    <t>65-10085-A001</t>
  </si>
  <si>
    <t>GAS DISCHARGE TUBE 75V 2.5KA 2 POLE SMT RoHS</t>
  </si>
  <si>
    <t>GTCS25-750M-R02-2</t>
  </si>
  <si>
    <t>8536.30.8000</t>
  </si>
  <si>
    <t>VT-1046</t>
  </si>
  <si>
    <t>28-10174-A006</t>
  </si>
  <si>
    <t>TERM BLOCK HDR 6POS R/A 3.81MM</t>
  </si>
  <si>
    <t>FC-1237</t>
  </si>
  <si>
    <t xml:space="preserve">Raw PC Board for P80 </t>
  </si>
  <si>
    <t>650-114-005</t>
  </si>
  <si>
    <t>HY-650-114-005</t>
  </si>
  <si>
    <t>23-10078-0476</t>
  </si>
  <si>
    <t>CAP TANT 47UF 10% 10V 2312 RoHS</t>
  </si>
  <si>
    <t>T491C476K010AT</t>
  </si>
  <si>
    <t>WE-CC000017</t>
  </si>
  <si>
    <t>28-10239-A002</t>
  </si>
  <si>
    <t>CONN HEADER 2POS RA GOLD SR 0.100 TH RoHS</t>
  </si>
  <si>
    <t>TSW-102-09-G-S-RA</t>
  </si>
  <si>
    <t>FC-1310</t>
  </si>
  <si>
    <t>28-10174-A010</t>
  </si>
  <si>
    <t>TERM BLOCK HDR 10POS R/A 3.81MM</t>
  </si>
  <si>
    <t>FC-1238</t>
  </si>
  <si>
    <t>28-10240-A009</t>
  </si>
  <si>
    <t>Conn , D-Sub 9Pos  RA Socket Solder Shell Size E</t>
  </si>
  <si>
    <t>Amphenol ICC (FCI)</t>
  </si>
  <si>
    <t>D09S33E4PA00LF</t>
  </si>
  <si>
    <t>FC-1235</t>
  </si>
  <si>
    <t>51-10366-B001</t>
  </si>
  <si>
    <t>IC DRVR/RCVR RS232 5V 16-SOIC</t>
  </si>
  <si>
    <t>STMicroelectronics</t>
  </si>
  <si>
    <t>ST232BDR</t>
  </si>
  <si>
    <t>FC-1226</t>
  </si>
  <si>
    <t>48-10479-A001</t>
  </si>
  <si>
    <t>DIODE RECTIFIER S2G 400V 2A SMB RoHS</t>
  </si>
  <si>
    <t>S2G</t>
  </si>
  <si>
    <t>VT-1056</t>
  </si>
  <si>
    <t>06-10142-0R24</t>
  </si>
  <si>
    <t>VT-1036</t>
  </si>
  <si>
    <t>65-10080-A002</t>
  </si>
  <si>
    <t>FUSEBLOCK w/FUSE SLOW 125V 1A SMD</t>
  </si>
  <si>
    <t>0154001.DRT</t>
  </si>
  <si>
    <t>8536.10.0040</t>
  </si>
  <si>
    <t>VT-1045</t>
  </si>
  <si>
    <t>48-10480-A001</t>
  </si>
  <si>
    <t>DIODE ZENER 3SMAJ5937 3W 33V 5% SMA RoHS</t>
  </si>
  <si>
    <t>MCC (Micro Commercial Components)</t>
  </si>
  <si>
    <t>3SMAJ5937B-TP</t>
  </si>
  <si>
    <t>VT-1060</t>
  </si>
  <si>
    <t>06-10143-A001</t>
  </si>
  <si>
    <t>MOV VG181231P650DP 39V 800A 1812 SMT RoHS</t>
  </si>
  <si>
    <t>KYOCERA AVX</t>
  </si>
  <si>
    <t>VG181231P650DP</t>
  </si>
  <si>
    <t>8533.40.4000</t>
  </si>
  <si>
    <t>VT-1038</t>
  </si>
  <si>
    <t>06-10144-A001</t>
  </si>
  <si>
    <t>MOV VC121030H620RP 41V 280A 1210 SMT RoHS</t>
  </si>
  <si>
    <t>VC121030H620RP</t>
  </si>
  <si>
    <t>VT-1037</t>
  </si>
  <si>
    <t>28-10033-A010</t>
  </si>
  <si>
    <t>IDC BOX HEADER .100" 10POS</t>
  </si>
  <si>
    <t>CNC Tech</t>
  </si>
  <si>
    <t>3020-10-0100-00</t>
  </si>
  <si>
    <t>EX-1012</t>
  </si>
  <si>
    <t>31-10019-B004</t>
  </si>
  <si>
    <t>TERM, BLOCK, SCREW, 90DEG, 3.81mmLS, 13.5A, TH, 4P, RoHS</t>
  </si>
  <si>
    <t>FC-1306</t>
  </si>
  <si>
    <t>09-10057-A010</t>
  </si>
  <si>
    <t>CONN DUAL 10P RECEPTACLE 0.100" TOP TH ROHS</t>
  </si>
  <si>
    <t>M20-7830546</t>
  </si>
  <si>
    <t>FC-1234</t>
  </si>
  <si>
    <t>51-10623-A001</t>
  </si>
  <si>
    <t>IC BTS428L2 PWR SWITCH MOSFET N-CHAN 1:1 TO252-5 RoHS</t>
  </si>
  <si>
    <t>Infineon Technologies</t>
  </si>
  <si>
    <t>BTS428L2ATMA1</t>
  </si>
  <si>
    <t>VT-1058</t>
  </si>
  <si>
    <t>21-10059-0105</t>
  </si>
  <si>
    <t>CAP MONO 1uF/50V 10% X7R 1206 RoHS</t>
  </si>
  <si>
    <t>TDK Corporation</t>
  </si>
  <si>
    <t>C3216X7R1H105K160AB</t>
  </si>
  <si>
    <t>IT-651</t>
  </si>
  <si>
    <t>23-10139-0476</t>
  </si>
  <si>
    <t>CAP TANT 47UF 16V 10% 2917 RoHS</t>
  </si>
  <si>
    <t>Vishay Sprague</t>
  </si>
  <si>
    <t>TH3D476K016C0600</t>
  </si>
  <si>
    <t>MSS-1009</t>
  </si>
  <si>
    <t>21-10137-0561</t>
  </si>
  <si>
    <t xml:space="preserve">CAP CER 560PF 1KV 10% X7R 1206 </t>
  </si>
  <si>
    <t>CC1206KKX7RCBB561</t>
  </si>
  <si>
    <t>VT-1013</t>
  </si>
  <si>
    <t>18-10024-A001</t>
  </si>
  <si>
    <t>TRIMMER 1K OHM 0.2W SMD</t>
  </si>
  <si>
    <t>EVM-1DSX30B13</t>
  </si>
  <si>
    <t>FC-1224</t>
  </si>
  <si>
    <t>51-10624-A001</t>
  </si>
  <si>
    <t>IC PQMC1 DC/DC CONV PWR Module 24V 1W RoHS</t>
  </si>
  <si>
    <t>VT-1053</t>
  </si>
  <si>
    <t>51-10598-A001</t>
  </si>
  <si>
    <t>IC FPGA 2.5V 384 CLB'S 208-PQFP</t>
  </si>
  <si>
    <t>XC2S50-5PQG208C</t>
  </si>
  <si>
    <t>WE-CU017003</t>
  </si>
  <si>
    <t>24-10112-A001</t>
  </si>
  <si>
    <t>IND FIXED 10UH 150MA 360 MOHM SMT RoHS</t>
  </si>
  <si>
    <t>Taiyo Yuden</t>
  </si>
  <si>
    <t>LBR2012T100K</t>
  </si>
  <si>
    <t>8504.50.8000</t>
  </si>
  <si>
    <t>VT-1051</t>
  </si>
  <si>
    <t>23-10170-0226</t>
  </si>
  <si>
    <t>CAP TANT 22UF 25V 10% 2917 RoHS</t>
  </si>
  <si>
    <t>T491D226K025AT</t>
  </si>
  <si>
    <t>FC-1305</t>
  </si>
  <si>
    <t>84-20081-00X1</t>
  </si>
  <si>
    <t>Raw PC Board 50-2185</t>
  </si>
  <si>
    <t>50-2185 Rev 2A</t>
  </si>
  <si>
    <t>FC-1315</t>
  </si>
  <si>
    <t>23-10173-0103</t>
  </si>
  <si>
    <t>CAP CER 10000PF 20% 2KV Z5U 17.5MMD 7.5MMLS RADIAL TH RoHS</t>
  </si>
  <si>
    <t>Vishay Beyschlag/Draloric/BC Components</t>
  </si>
  <si>
    <t>S103M69Z5UP63K7R</t>
  </si>
  <si>
    <t>8532.23.0060</t>
  </si>
  <si>
    <t>VT-1008</t>
  </si>
  <si>
    <t>72-10042-A001</t>
  </si>
  <si>
    <t>LCD Display, 4 X 40, 5 X 7 Dots Backlight</t>
  </si>
  <si>
    <t>Lumex Opto/Components Inc.</t>
  </si>
  <si>
    <t>LCM-S01604DSF</t>
  </si>
  <si>
    <t>8531.20.0020</t>
  </si>
  <si>
    <t>FC-1313</t>
  </si>
  <si>
    <t>28-10238-B004</t>
  </si>
  <si>
    <t>TERM BLOCK PLUG 4POS STR 3.5MM Black RoHS</t>
  </si>
  <si>
    <t>VT-1003</t>
  </si>
  <si>
    <t>54-10094-0000</t>
  </si>
  <si>
    <t>Max-Q Membrane and Back Panel</t>
  </si>
  <si>
    <t>57-2248</t>
  </si>
  <si>
    <t>FC-1314</t>
  </si>
  <si>
    <t>28-10236-A008</t>
  </si>
  <si>
    <t>CONN 8POS DR IC DIP SOCKET 0.3" TIN TH RoHS</t>
  </si>
  <si>
    <t>DILB8P-223TLF</t>
  </si>
  <si>
    <t>FC-1227</t>
  </si>
  <si>
    <t>24-10113-A001</t>
  </si>
  <si>
    <t>IND FIXED 1MH 500MA 2.6 OHM TH RoHS</t>
  </si>
  <si>
    <t>Pulse Electronics</t>
  </si>
  <si>
    <t>PE-52651NL</t>
  </si>
  <si>
    <t>VT-1049</t>
  </si>
  <si>
    <t>24-10114-A001</t>
  </si>
  <si>
    <t>IND FIXED 220NH 1.69A 60 MOHM SMT RoHS</t>
  </si>
  <si>
    <t>NLCV25T-R22M-EFR</t>
  </si>
  <si>
    <t>VT-1050</t>
  </si>
  <si>
    <t>28-10222-A002</t>
  </si>
  <si>
    <t xml:space="preserve">TERM BLOCK HDR 2POS VERT 5.08MM </t>
  </si>
  <si>
    <t>VT-1062</t>
  </si>
  <si>
    <t>TLW-116-06-T-S</t>
  </si>
  <si>
    <t>FC-1318</t>
  </si>
  <si>
    <t>28-10238-B008</t>
  </si>
  <si>
    <t>TERM BLOCK PLUG 8POS STR 3.5MM Black RoHS</t>
  </si>
  <si>
    <t>VT-1004</t>
  </si>
  <si>
    <t>54-10092-0000</t>
  </si>
  <si>
    <t>OVERLAY, CC-170437, MEMBRANE SWITCH</t>
  </si>
  <si>
    <t>SF Technologies</t>
  </si>
  <si>
    <t>CC-170437</t>
  </si>
  <si>
    <t>28-10179-B004</t>
  </si>
  <si>
    <t>TERM BLOCK PLUG 4POS STR 5.08MM BLACK RoHS</t>
  </si>
  <si>
    <t>VT-1001</t>
  </si>
  <si>
    <t>18-10026-A001</t>
  </si>
  <si>
    <t>TRIMMER 10K OHM 0.1W SMD</t>
  </si>
  <si>
    <t>Bourns Inc.</t>
  </si>
  <si>
    <t>TC33X-2-103E</t>
  </si>
  <si>
    <t>8533.40.8050</t>
  </si>
  <si>
    <t>FC-1304</t>
  </si>
  <si>
    <t>06-10135-220R</t>
  </si>
  <si>
    <t>RES ARRAY 220 OHM 4 RES 2012</t>
  </si>
  <si>
    <t>YC324-JK-07220RL</t>
  </si>
  <si>
    <t>8533.21.0020</t>
  </si>
  <si>
    <t>FC-1307</t>
  </si>
  <si>
    <t>37-10005-A001</t>
  </si>
  <si>
    <t>Tubing Heat Shrink 0.375" LSZH 2:1 10' Black</t>
  </si>
  <si>
    <t>Alpha Wire</t>
  </si>
  <si>
    <t>F221L3/8 BK004</t>
  </si>
  <si>
    <t>FC-1316</t>
  </si>
  <si>
    <t>28-10240-A010</t>
  </si>
  <si>
    <t>CONN HEADER 10POS RA GOLD DR 0.100 TH RoHS</t>
  </si>
  <si>
    <t>68021-210HLF</t>
  </si>
  <si>
    <t>FC-1317</t>
  </si>
  <si>
    <t>RAW PC BOARD FOR I/O INTERFACE</t>
  </si>
  <si>
    <t>57-4837</t>
  </si>
  <si>
    <t>FC-PCB574837</t>
  </si>
  <si>
    <t>24-10116-A001</t>
  </si>
  <si>
    <t>CMC RFI SUPP 3.9mH@400Hz 1A 2LN TH</t>
  </si>
  <si>
    <t>TE Connectivity Schaffner</t>
  </si>
  <si>
    <t>EV20-1.0-02-3M9</t>
  </si>
  <si>
    <t>8548.00.0000</t>
  </si>
  <si>
    <t>VT-1047</t>
  </si>
  <si>
    <t>24-10115-A001</t>
  </si>
  <si>
    <t>IND FIXED 22UH 620MA 270 MOHM SMT RoHS</t>
  </si>
  <si>
    <t>CBC3225T220MR</t>
  </si>
  <si>
    <t>VT-1052</t>
  </si>
  <si>
    <t>48-10012-A002</t>
  </si>
  <si>
    <t>DIODE GEN PURP 100V 200MA SOD123 RoHS</t>
  </si>
  <si>
    <t>MMSD4148T1G</t>
  </si>
  <si>
    <t>VT-1054</t>
  </si>
  <si>
    <t>84-20086-00X1</t>
  </si>
  <si>
    <t>PC Board 24VDC Input Rev 2  RoHS</t>
  </si>
  <si>
    <t>600350-000-REV2</t>
  </si>
  <si>
    <t>VT-1061</t>
  </si>
  <si>
    <t xml:space="preserve">IC FLASH XCF01 ISP FPGA PROM 1Mb20- TSSOP SMT RoHS  </t>
  </si>
  <si>
    <t>XCF01SVOG20C</t>
  </si>
  <si>
    <t>WE-CU007013</t>
  </si>
  <si>
    <t>51-10587-A001</t>
  </si>
  <si>
    <t>Transformer Driver for Isolated DC-DC Converter  SMT SO-8  T/R ONLY</t>
  </si>
  <si>
    <t>Analog Devices Inc./Maxim Integrated</t>
  </si>
  <si>
    <t>MAX253CSA+</t>
  </si>
  <si>
    <t>WE-CU009011</t>
  </si>
  <si>
    <t>18-10023-A001</t>
  </si>
  <si>
    <t xml:space="preserve">SWITCH DIGITAL CONTACTING  ENCODER 2 BIT QUAD W/DETENTS </t>
  </si>
  <si>
    <t>CTS Electrocomponents</t>
  </si>
  <si>
    <t>290VAA5F201A2</t>
  </si>
  <si>
    <t>8543.70.4500</t>
  </si>
  <si>
    <t>WE-CS000062</t>
  </si>
  <si>
    <t>28-10220-B008</t>
  </si>
  <si>
    <t>CONN HEADER 8POS VERT 2.54MM DR 2 x 4 GOLD RoHS</t>
  </si>
  <si>
    <t>TE Connectivity AMP Connectors</t>
  </si>
  <si>
    <t>87227-4</t>
  </si>
  <si>
    <t>WE-CJ000145</t>
  </si>
  <si>
    <t>51-10594-A001</t>
  </si>
  <si>
    <t>PC Mount, Mini Power Isolation Transformer for MAX253, 1:1.36 C.T., SMT</t>
  </si>
  <si>
    <t>Murata Power Solutions Inc.</t>
  </si>
  <si>
    <t>78253/55MV</t>
  </si>
  <si>
    <t>8504.31.2000</t>
  </si>
  <si>
    <t>WE-CT000011</t>
  </si>
  <si>
    <t xml:space="preserve">N3429-5002RB </t>
  </si>
  <si>
    <t>WE-CJ000301</t>
  </si>
  <si>
    <t>28-10034-B003</t>
  </si>
  <si>
    <t xml:space="preserve">MTA-100 CONN HEADER RTANG 3POS .100 TIN </t>
  </si>
  <si>
    <t>640457-3</t>
  </si>
  <si>
    <t>WE-CJ000052</t>
  </si>
  <si>
    <t>48-10471-A001</t>
  </si>
  <si>
    <t>TVS, 15V 400W UniDir. SMT Marked "BM"</t>
  </si>
  <si>
    <t>SMAJ15A</t>
  </si>
  <si>
    <t>WE-CR100634</t>
  </si>
  <si>
    <t>80-10069-A001</t>
  </si>
  <si>
    <t>Speaker PCB Mount  91dB 32mm</t>
  </si>
  <si>
    <t>SAC-30A-45-MC-3.7</t>
  </si>
  <si>
    <t>WE-CU016003</t>
  </si>
  <si>
    <t>3433-5002</t>
  </si>
  <si>
    <t>WE-CJ000303</t>
  </si>
  <si>
    <t>51-10597-A001</t>
  </si>
  <si>
    <t>IC LM3914VX DRIVER DOT BAR DISPLAY 20PLCC RoHS</t>
  </si>
  <si>
    <t>LM3914VX/NOPB</t>
  </si>
  <si>
    <t>WE-CU012059</t>
  </si>
  <si>
    <t>09-10075-A001</t>
  </si>
  <si>
    <t>CONN SMB JACK STR 50 OHM PCB</t>
  </si>
  <si>
    <t>Cinch Connectivity Solutions Johnson</t>
  </si>
  <si>
    <t>131-3701-266</t>
  </si>
  <si>
    <t>8536.69.4010</t>
  </si>
  <si>
    <t>18-10025-A001</t>
  </si>
  <si>
    <t>TRIMPOT 10K 0.5W TH RoHS</t>
  </si>
  <si>
    <t>3299X-1-103LF</t>
  </si>
  <si>
    <t>06-10042-1M00</t>
  </si>
  <si>
    <t>RES 1M 1/4W 1% CF</t>
  </si>
  <si>
    <t>MF0W4FF1004B00</t>
  </si>
  <si>
    <t>06-10042-150R</t>
  </si>
  <si>
    <t>RES 150 OHM 1/4W 1% CF</t>
  </si>
  <si>
    <t>MF0W4FF1500B00</t>
  </si>
  <si>
    <t>06-10030-1M80</t>
  </si>
  <si>
    <t>RES   1.8M OHM 1/4W 5% CF</t>
  </si>
  <si>
    <t>CFR0W4J0185B00</t>
  </si>
  <si>
    <t>06-10030-10M0</t>
  </si>
  <si>
    <t>RES 10M OHM 5% 1/4W CF</t>
  </si>
  <si>
    <t>CFR0W4J0106B00</t>
  </si>
  <si>
    <t>06-10030-15K0</t>
  </si>
  <si>
    <t>RES 15K 1/4W 5% CF</t>
  </si>
  <si>
    <t>CFR0W4J0153B00</t>
  </si>
  <si>
    <t>06-10042-33K0</t>
  </si>
  <si>
    <t>RES 33K OHM 1% 1/4W MF</t>
  </si>
  <si>
    <t>MF0W4FF3302B00</t>
  </si>
  <si>
    <t>06-10030-470K</t>
  </si>
  <si>
    <t>RES 470K OHM 1% 1/4W AXIAL</t>
  </si>
  <si>
    <t>MFR-25FRF52-470K</t>
  </si>
  <si>
    <t>8533.21.0090</t>
  </si>
  <si>
    <t>WE-CJ000305</t>
  </si>
  <si>
    <t>28-10246-A002</t>
  </si>
  <si>
    <t xml:space="preserve">CONN HEADER CNX  2POS LOCKING SR 0.100 </t>
  </si>
  <si>
    <t>CNX-H02-NTP</t>
  </si>
  <si>
    <t>WE-CJ000937</t>
  </si>
  <si>
    <t>80-10068-A001</t>
  </si>
  <si>
    <t>RELAY SSR 120MA 4PIN SOP</t>
  </si>
  <si>
    <t>IXYS Integrated Circuits Division</t>
  </si>
  <si>
    <t>CPC1150NTR</t>
  </si>
  <si>
    <t>8541.49.8000</t>
  </si>
  <si>
    <t>WE-CU015017</t>
  </si>
  <si>
    <t>84-20052-00X1</t>
  </si>
  <si>
    <t>Raw Card Jumper Board</t>
  </si>
  <si>
    <t>FC-578350</t>
  </si>
  <si>
    <t>23-10174-0104</t>
  </si>
  <si>
    <t>CAP CER 0.1UF 20% 50V Z5U AXIAL TH RoHS</t>
  </si>
  <si>
    <t>C410C104M5U5TA</t>
  </si>
  <si>
    <t>8532.24.0040</t>
  </si>
  <si>
    <t>21-10095-0100</t>
  </si>
  <si>
    <t>CAP CER 1UF +/-10% 50V X7R RADIAL TH RoHS</t>
  </si>
  <si>
    <t>C330C105K5R5TA</t>
  </si>
  <si>
    <t>8532.24.0060</t>
  </si>
  <si>
    <t>1-2199298-2</t>
  </si>
  <si>
    <t>06-10042-4K70</t>
  </si>
  <si>
    <t>RES 1K OHM 1% 1/4W AXIAL</t>
  </si>
  <si>
    <t>RNF14FTD1K00</t>
  </si>
  <si>
    <t>22 </t>
  </si>
  <si>
    <t>80-10067-A001</t>
  </si>
  <si>
    <t>RELAY SSR 120MA 4PIN SOP  T/R ONLY</t>
  </si>
  <si>
    <t>CPC1035NTR</t>
  </si>
  <si>
    <t>WE-CU015016</t>
  </si>
  <si>
    <t>48-10323-B001</t>
  </si>
  <si>
    <t>TVS, 5V 400W BiDir. SMT  (Cut Tape or T/R)</t>
  </si>
  <si>
    <t>Vishay General Semiconductor - Diodes Division</t>
  </si>
  <si>
    <t>SMAJ5.0CA-E3/61</t>
  </si>
  <si>
    <t>WE-CR100633</t>
  </si>
  <si>
    <t>51-10593-A001</t>
  </si>
  <si>
    <t>OPTOCOUPLER TRANS-OUT 2CH 8-SOIC</t>
  </si>
  <si>
    <t>MOCD207-M</t>
  </si>
  <si>
    <t>WE-CU015015</t>
  </si>
  <si>
    <t>06-10030-100R</t>
  </si>
  <si>
    <t>RES 100 OHM   1/4W   5% CF</t>
  </si>
  <si>
    <t>291-100-RC</t>
  </si>
  <si>
    <t>84-20078-00X1</t>
  </si>
  <si>
    <t>ZZ-EFI HAND HELD</t>
  </si>
  <si>
    <t>CC-170632PCA</t>
  </si>
  <si>
    <t>54-10093-0000</t>
  </si>
  <si>
    <t>OVERLAY, CC-170650, EZ TCU</t>
  </si>
  <si>
    <t>CC-170650</t>
  </si>
  <si>
    <t>15-10123-0000</t>
  </si>
  <si>
    <t>ENCLOSURE DUAL WIDEBAND</t>
  </si>
  <si>
    <t>B7010209</t>
  </si>
  <si>
    <t>CC-170654</t>
  </si>
  <si>
    <t>28-10187-A003</t>
  </si>
  <si>
    <t>CON PJ102AH</t>
  </si>
  <si>
    <t>Same Sky (Formerly CUI Devices)</t>
  </si>
  <si>
    <t>PJ-102AH</t>
  </si>
  <si>
    <t>CC-PJ102AH</t>
  </si>
  <si>
    <t>23-10175-0476</t>
  </si>
  <si>
    <t>CAP TANT 47uF 20V 20% 8.5MMD 6.35MMLS RADIAL TH RoHS</t>
  </si>
  <si>
    <t>TAP476M020HSB</t>
  </si>
  <si>
    <t>8532.21.0040</t>
  </si>
  <si>
    <t>23-10176-0336</t>
  </si>
  <si>
    <t>CAP ALUM 33UF 20% 25V SMD 6.3MMD 5.2MMH 6.6MMLS RoHS</t>
  </si>
  <si>
    <t>1,000 </t>
  </si>
  <si>
    <t>Chemi-Con</t>
  </si>
  <si>
    <t>EMVE250ADA330MF55G</t>
  </si>
  <si>
    <t>Master Electronics</t>
  </si>
  <si>
    <t>CO33UF16E</t>
  </si>
  <si>
    <t>51-10626-A001</t>
  </si>
  <si>
    <t>IC 25LC256 SRL EEPROM SPI 256K 8SOIC RoHS</t>
  </si>
  <si>
    <t>Microchip Technology</t>
  </si>
  <si>
    <t>25LC256T-I/SN</t>
  </si>
  <si>
    <t>8542.32.0051</t>
  </si>
  <si>
    <t>ICS256A</t>
  </si>
  <si>
    <t>CAP MONO 0.22uF 25V 10% X7R 0805 RoHS</t>
  </si>
  <si>
    <t>KGM21AR71E224KU</t>
  </si>
  <si>
    <t>CE.22uF25C</t>
  </si>
  <si>
    <t>23-10177-0103</t>
  </si>
  <si>
    <t>CAP CER 10000PF 50V 10% X7R AXIAL TH RoHS</t>
  </si>
  <si>
    <t>C410C103K5R5TA7200</t>
  </si>
  <si>
    <t>03-10043-A001</t>
  </si>
  <si>
    <t>Screw  #4 X1 Flat Phil</t>
  </si>
  <si>
    <t>CC-170657</t>
  </si>
  <si>
    <t>51-10608-A001</t>
  </si>
  <si>
    <t>IC NCS2202SN1T1G Micro-Power Rail-to-Rail CMOS Comparators</t>
  </si>
  <si>
    <t>NCS2202SN1T1G</t>
  </si>
  <si>
    <t>8542.39.0060</t>
  </si>
  <si>
    <t>51-10620-A001</t>
  </si>
  <si>
    <t>IC 74AHCT1G126 SOT-23 125C BUFF GATE TRI OUT RoHS</t>
  </si>
  <si>
    <t>SN74AHCT1G125DBVR</t>
  </si>
  <si>
    <t>51-10610-A001</t>
  </si>
  <si>
    <t>IC SN74LVC1G08DCKT GATE AND 1CH 2-INP SC-70-5 RoHS</t>
  </si>
  <si>
    <t>SN74LVC1G08DCKT</t>
  </si>
  <si>
    <t>HY-750-001-138</t>
  </si>
  <si>
    <t>HY-750-001-126</t>
  </si>
  <si>
    <t>HY-750-001-061</t>
  </si>
  <si>
    <t>51-10611-A001</t>
  </si>
  <si>
    <t>IC MC78M05CDTRKG REG LDO 5V 0.5A DPAK RoHS</t>
  </si>
  <si>
    <t>MC78M05CDTRKG</t>
  </si>
  <si>
    <t>FC-1302</t>
  </si>
  <si>
    <t>51-10612-A001</t>
  </si>
  <si>
    <t>IC SN75HVD3082EP TXRX RS-485 LP 8-DIP</t>
  </si>
  <si>
    <t>SN75HVD3082EP</t>
  </si>
  <si>
    <t>FC-1242</t>
  </si>
  <si>
    <t>51-10603-A001</t>
  </si>
  <si>
    <t>IC XTR111 PREC VOLT-CURR CONV/TX 10MSOP RoHS</t>
  </si>
  <si>
    <t>XTR111AIDGQR</t>
  </si>
  <si>
    <t>FC-1230</t>
  </si>
  <si>
    <t>06-10042-133K</t>
  </si>
  <si>
    <t>RES 133K OHM 1% 1/4W MF</t>
  </si>
  <si>
    <t>MFR-25FRF52-133K</t>
  </si>
  <si>
    <t>51-10602-A001</t>
  </si>
  <si>
    <t>IC LM224 OPAMP 4 Circuit GP 1MHZ 14SOIC RoHS</t>
  </si>
  <si>
    <t>LM224DR2G</t>
  </si>
  <si>
    <t>8542.33.0001</t>
  </si>
  <si>
    <t>FC-1232</t>
  </si>
  <si>
    <t>51-10613-A001</t>
  </si>
  <si>
    <t>IC MIC2954-03WS-TR REG LINEAR 5V 250MA SOT223-3 RoHS</t>
  </si>
  <si>
    <t>MIC2954-03WS-TR</t>
  </si>
  <si>
    <t>FC-2041</t>
  </si>
  <si>
    <t>51-10614-A001</t>
  </si>
  <si>
    <t>IC PIC16F1708T-I/SO MCU 8BIT 7KB FLASH 20SOIC RoHS</t>
  </si>
  <si>
    <t>PIC16F1708T-I/SO</t>
  </si>
  <si>
    <t>8542.31.0015</t>
  </si>
  <si>
    <t>FC-2040</t>
  </si>
  <si>
    <t>51-10293-B001</t>
  </si>
  <si>
    <t>IC 74AHCT125D,118 BUFFER NON-INVERT 14-SO RoHS</t>
  </si>
  <si>
    <t>Nexperia USA Inc.</t>
  </si>
  <si>
    <t>74AHCT125D,118</t>
  </si>
  <si>
    <t>??</t>
  </si>
  <si>
    <t>FC-1229</t>
  </si>
  <si>
    <t>51-10616-A001</t>
  </si>
  <si>
    <t>IC MC78M12CDTRKG REG LDO 12V 0.5A DPAK RoHS</t>
  </si>
  <si>
    <t>MC78M12CDTRKG</t>
  </si>
  <si>
    <t>FC-1303</t>
  </si>
  <si>
    <t>51-10619-A001</t>
  </si>
  <si>
    <t>IC L5970ADTR REG BUCK ADJ 1.5A 8SOIC RoHS</t>
  </si>
  <si>
    <t>L5970ADTR</t>
  </si>
  <si>
    <t>FC-1225</t>
  </si>
  <si>
    <t>51-10618-A001</t>
  </si>
  <si>
    <t>IC LTC485CS8#TRPBF TXRX INTRFC RS485 LOPWR 8SOIC RoHS</t>
  </si>
  <si>
    <t>Analog Devices Inc.</t>
  </si>
  <si>
    <t xml:space="preserve">LTC485CS8#TRPBF </t>
  </si>
  <si>
    <t>FC-1301</t>
  </si>
  <si>
    <t>51-10590-A001</t>
  </si>
  <si>
    <t>IC TPA741 AMP CLASS AB MONO 700MW 8MSOP RoHS</t>
  </si>
  <si>
    <t>TPA741DGNR</t>
  </si>
  <si>
    <t>WE-CU012045</t>
  </si>
  <si>
    <t>51-10589-A001</t>
  </si>
  <si>
    <t>Exsits</t>
  </si>
  <si>
    <t>IC LP2951A REG LIN POS ADJ 100MA 8-SOIC RoHS</t>
  </si>
  <si>
    <t>LP2951ACMX/NOPB</t>
  </si>
  <si>
    <t>WE-CU011039</t>
  </si>
  <si>
    <t>51-10588-A001</t>
  </si>
  <si>
    <t>IC TPS70358 REG LINEAR 3.3/2.5V 24HTSSOP RoHS</t>
  </si>
  <si>
    <t>TPS70358PWP</t>
  </si>
  <si>
    <t>WE-CU011035</t>
  </si>
  <si>
    <t>51-10592-A001</t>
  </si>
  <si>
    <t>IC TLC2272 CMOS OP AMP 2 CIRCUIT 8SOIC RoHS</t>
  </si>
  <si>
    <t>TLC2272ACDR</t>
  </si>
  <si>
    <t>WE-CU012055</t>
  </si>
  <si>
    <t>51-10591-A001</t>
  </si>
  <si>
    <t>IC DS1809 DGTL POT 100KOHM 64POS LINEAR TAPER 8SOIC RoHS</t>
  </si>
  <si>
    <t>DS1809Z-100+</t>
  </si>
  <si>
    <t>WE-CU012046</t>
  </si>
  <si>
    <t>51-10617-A001</t>
  </si>
  <si>
    <t>IC MM74HC14MX INVERT SCHMITT 6CH 1IN 14SOIC RoHS</t>
  </si>
  <si>
    <t>MM74HC14MX</t>
  </si>
  <si>
    <t>WE-CU023014</t>
  </si>
  <si>
    <t>06-10042-10K0</t>
  </si>
  <si>
    <t>RES 10K OHM 1/4W 1% MF</t>
  </si>
  <si>
    <t>Whitways Enterprises</t>
  </si>
  <si>
    <t>11201-1002-1416-EIL</t>
  </si>
  <si>
    <t>48-10470-A001</t>
  </si>
  <si>
    <t>DIODE TVS ESDA6V1U1 6CH 200W 5VWM 8-SOIC RoHS</t>
  </si>
  <si>
    <t>ESDA6V1U1RL</t>
  </si>
  <si>
    <t>WE-CU016012</t>
  </si>
  <si>
    <t>06-10030-4K70</t>
  </si>
  <si>
    <t>Res CF, 4K7, 1/4W, 5%, Axial</t>
  </si>
  <si>
    <t>CF14JT4K70TR-ND</t>
  </si>
  <si>
    <t>21 </t>
  </si>
  <si>
    <t>8533.10.065</t>
  </si>
  <si>
    <t>IT-576</t>
  </si>
  <si>
    <t>FC-1311</t>
  </si>
  <si>
    <t>Cant Find Online</t>
  </si>
  <si>
    <t>New, no alternates found yet</t>
  </si>
  <si>
    <t>Elan Part number Exists</t>
  </si>
  <si>
    <t>Obsolete / Discontinued</t>
  </si>
  <si>
    <t>missing Manufactuer part number</t>
  </si>
  <si>
    <t>RC0603JR-07510RL</t>
  </si>
  <si>
    <t>GMC04X7R104K16NT</t>
  </si>
  <si>
    <t>Cal-Chip Electronics, Inc.</t>
  </si>
  <si>
    <t>CL10B471KB8NNNC</t>
  </si>
  <si>
    <t>RC0603FR-0710RL</t>
  </si>
  <si>
    <t>RMCF0805FT1K30</t>
  </si>
  <si>
    <t xml:space="preserve"> RC0603FR-073K3L</t>
  </si>
  <si>
    <t>RMCF0805FT4K70</t>
  </si>
  <si>
    <t>48-10484-A001</t>
  </si>
  <si>
    <t>23-10078-0226</t>
  </si>
  <si>
    <t>28-10247-A016</t>
  </si>
  <si>
    <t>CONN HEADER VERT 16POS 2.54MM RoHS</t>
  </si>
  <si>
    <t>84-20082-00X1</t>
  </si>
  <si>
    <t>28-10248-A026</t>
  </si>
  <si>
    <t>CONN HEADER RA 26POS 2.54MM RoHS</t>
  </si>
  <si>
    <t>28-10249-A050</t>
  </si>
  <si>
    <t>CONN HEADER RA 50POS 2.54MM</t>
  </si>
  <si>
    <t>09-10077-A008</t>
  </si>
  <si>
    <t>CONN IC DIP SOCKET 8POS TIN TH</t>
  </si>
  <si>
    <t>FC-1300</t>
  </si>
  <si>
    <t>IC FM25640B FRAM 64KBIT SPI 20MHZ 8SOIC RoHS3</t>
  </si>
  <si>
    <t>51-10627-A001</t>
  </si>
  <si>
    <t>FM25640B-GTR</t>
  </si>
  <si>
    <t>8542.32.0071</t>
  </si>
  <si>
    <t>51-10596-A001</t>
  </si>
  <si>
    <t>RK73H1JTTD3322F</t>
  </si>
  <si>
    <t>KOA Speer Electronics, Inc.</t>
  </si>
  <si>
    <t>UCM1C101MCL1GS</t>
  </si>
  <si>
    <t>0225006.MXUP</t>
  </si>
  <si>
    <t>SF Tech P/N</t>
  </si>
  <si>
    <t>EBWA-05-B</t>
  </si>
  <si>
    <t>Adam Tech</t>
  </si>
  <si>
    <t>LTR50UZPFLR240</t>
  </si>
  <si>
    <t>Rohm Semiconductor</t>
  </si>
  <si>
    <t>RES  0.24 OHM 1W 1% 5025 RoHS</t>
  </si>
  <si>
    <t>8504.40.9580</t>
  </si>
  <si>
    <t>TMR 6-2415WI</t>
  </si>
  <si>
    <t>Traco Power</t>
  </si>
  <si>
    <t>21-10040-0224</t>
  </si>
  <si>
    <t>CAP MONO 0.22uF/50V 10% X7R 0805 RoHS</t>
  </si>
  <si>
    <t>MA0805XR224K500</t>
  </si>
  <si>
    <t>Meritek</t>
  </si>
  <si>
    <t xml:space="preserve">Substitutes for Obsolete/No-Stock  </t>
  </si>
  <si>
    <t>21-10020-0472</t>
  </si>
  <si>
    <t>C0805C472K5RACTU</t>
  </si>
  <si>
    <t>8536.10.0020</t>
  </si>
  <si>
    <t>84-20072-00X1</t>
  </si>
  <si>
    <t>COLOR CODING 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</si>
</sst>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-409]General"/>
    <numFmt numFmtId="165" formatCode="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 Light"/>
      <family val="2"/>
    </font>
    <font>
      <b/>
      <i/>
      <sz val="11"/>
      <color theme="1"/>
      <name val="Calibri"/>
      <family val="2"/>
      <scheme val="minor"/>
    </font>
    <font>
      <sz val="12"/>
      <color rgb="FF000000"/>
      <name val="新細明體"/>
    </font>
    <font>
      <sz val="11"/>
      <name val="Calibri"/>
      <family val="2"/>
      <scheme val="minor"/>
    </font>
    <font>
      <sz val="10"/>
      <color rgb="FF333333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C4A7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2C4B2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5B5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Border="0" applyProtection="0"/>
  </cellStyleXfs>
  <cellXfs count="10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vertical="center" wrapText="1"/>
    </xf>
    <xf numFmtId="8" fontId="0" fillId="2" borderId="0" xfId="0" applyNumberFormat="1" applyFill="1" applyAlignment="1">
      <alignment vertical="center" wrapText="1"/>
    </xf>
    <xf numFmtId="0" fontId="1" fillId="3" borderId="2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3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4" borderId="0" xfId="0" applyFill="1" applyAlignment="1">
      <alignment horizontal="center"/>
    </xf>
    <xf numFmtId="4" fontId="0" fillId="4" borderId="1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left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left"/>
    </xf>
    <xf numFmtId="0" fontId="0" fillId="4" borderId="3" xfId="0" applyFill="1" applyBorder="1" applyAlignment="1">
      <alignment horizontal="left" vertical="center"/>
    </xf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left"/>
    </xf>
    <xf numFmtId="0" fontId="6" fillId="4" borderId="0" xfId="0" applyFont="1" applyFill="1"/>
    <xf numFmtId="0" fontId="5" fillId="4" borderId="1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8" fontId="0" fillId="4" borderId="1" xfId="0" applyNumberFormat="1" applyFill="1" applyBorder="1" applyAlignment="1">
      <alignment vertical="center" wrapText="1"/>
    </xf>
    <xf numFmtId="0" fontId="0" fillId="4" borderId="0" xfId="0" applyFill="1"/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0" fillId="7" borderId="0" xfId="0" applyFill="1"/>
    <xf numFmtId="0" fontId="5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left" wrapText="1"/>
    </xf>
    <xf numFmtId="4" fontId="0" fillId="7" borderId="1" xfId="0" applyNumberFormat="1" applyFill="1" applyBorder="1" applyAlignment="1">
      <alignment horizontal="left"/>
    </xf>
    <xf numFmtId="4" fontId="0" fillId="4" borderId="1" xfId="0" applyNumberFormat="1" applyFill="1" applyBorder="1" applyAlignment="1">
      <alignment horizontal="left"/>
    </xf>
    <xf numFmtId="0" fontId="3" fillId="3" borderId="2" xfId="0" applyFont="1" applyFill="1" applyBorder="1" applyAlignment="1">
      <alignment horizontal="left" wrapText="1"/>
    </xf>
    <xf numFmtId="3" fontId="0" fillId="4" borderId="1" xfId="0" applyNumberFormat="1" applyFill="1" applyBorder="1" applyAlignment="1">
      <alignment horizontal="left"/>
    </xf>
    <xf numFmtId="0" fontId="0" fillId="4" borderId="0" xfId="0" applyFill="1" applyAlignment="1">
      <alignment horizontal="left"/>
    </xf>
    <xf numFmtId="3" fontId="0" fillId="7" borderId="1" xfId="0" applyNumberFormat="1" applyFill="1" applyBorder="1" applyAlignment="1">
      <alignment horizontal="left"/>
    </xf>
    <xf numFmtId="0" fontId="0" fillId="6" borderId="2" xfId="0" applyFill="1" applyBorder="1"/>
    <xf numFmtId="0" fontId="0" fillId="2" borderId="0" xfId="0" applyFill="1" applyAlignment="1">
      <alignment horizontal="left" vertical="center"/>
    </xf>
    <xf numFmtId="0" fontId="1" fillId="3" borderId="5" xfId="0" applyFont="1" applyFill="1" applyBorder="1" applyAlignment="1">
      <alignment horizontal="center" wrapText="1"/>
    </xf>
    <xf numFmtId="0" fontId="0" fillId="2" borderId="6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1" xfId="0" quotePrefix="1" applyFill="1" applyBorder="1" applyAlignment="1">
      <alignment horizontal="center"/>
    </xf>
    <xf numFmtId="165" fontId="5" fillId="4" borderId="1" xfId="1" applyNumberFormat="1" applyFont="1" applyFill="1" applyBorder="1" applyAlignment="1">
      <alignment horizontal="center" vertical="center"/>
    </xf>
    <xf numFmtId="165" fontId="5" fillId="7" borderId="1" xfId="1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4" xfId="0" applyFill="1" applyBorder="1"/>
    <xf numFmtId="0" fontId="0" fillId="5" borderId="4" xfId="0" applyFill="1" applyBorder="1" applyAlignment="1">
      <alignment horizontal="left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3" fontId="0" fillId="10" borderId="1" xfId="0" applyNumberFormat="1" applyFill="1" applyBorder="1" applyAlignment="1">
      <alignment horizontal="left" vertical="center"/>
    </xf>
    <xf numFmtId="0" fontId="0" fillId="10" borderId="0" xfId="0" applyFill="1"/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0" fillId="10" borderId="1" xfId="0" applyFill="1" applyBorder="1" applyAlignment="1">
      <alignment vertical="center"/>
    </xf>
    <xf numFmtId="4" fontId="0" fillId="10" borderId="1" xfId="0" applyNumberFormat="1" applyFill="1" applyBorder="1" applyAlignment="1">
      <alignment horizontal="left" vertical="center"/>
    </xf>
    <xf numFmtId="3" fontId="0" fillId="10" borderId="1" xfId="0" applyNumberFormat="1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</cellXfs>
  <cellStyles count="2">
    <cellStyle name="Excel Built-in Normal" xfId="1" xr:uid="{4DEAE924-0C66-4649-A742-44BEE83B54CC}"/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B5B"/>
      <color rgb="FF21FFD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quis McBride" id="{2CABEE5E-BB0F-4445-950E-01E71C2D5ADB}" userId="S::mmcbride@elanindustries.com::4e185225-5626-4042-b97f-6e3782873f6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81" dT="2025-11-26T21:09:12.67" personId="{2CABEE5E-BB0F-4445-950E-01E71C2D5ADB}" id="{115B1368-0437-4F15-8AD5-4A735A92213A}">
    <text>Obsolete</text>
  </threadedComment>
  <threadedComment ref="L81" dT="2025-12-01T18:07:48.52" personId="{2CABEE5E-BB0F-4445-950E-01E71C2D5ADB}" id="{D79EFE31-AF7C-4D21-9FB4-C935F3D88731}" parentId="{115B1368-0437-4F15-8AD5-4A735A92213A}">
    <text>Need to order from Arrow</text>
  </threadedComment>
  <threadedComment ref="L118" dT="2025-11-26T22:08:32.89" personId="{2CABEE5E-BB0F-4445-950E-01E71C2D5ADB}" id="{041874A1-7131-4EA6-A299-47BA430C0582}">
    <text>Where to buy?</text>
  </threadedComment>
  <threadedComment ref="L144" dT="2025-11-23T19:21:02.91" personId="{2CABEE5E-BB0F-4445-950E-01E71C2D5ADB}" id="{5A90523B-3C04-4181-89FC-E5366373E555}">
    <text>Obsolete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9977-BD4A-415C-938D-4E441DBBD24A}">
  <dimension ref="A1:BR208"/>
  <sheetViews>
    <sheetView tabSelected="1" zoomScale="85" zoomScaleNormal="85" workbookViewId="0">
      <selection activeCell="A11" sqref="A11:Q11"/>
    </sheetView>
  </sheetViews>
  <sheetFormatPr defaultRowHeight="14.4" x14ac:dyDescent="0.3"/>
  <cols>
    <col min="1" max="1" width="21.21875" style="3" customWidth="1"/>
    <col min="2" max="2" width="14.5546875" style="3" customWidth="1"/>
    <col min="3" max="3" width="55.44140625" style="2" customWidth="1"/>
    <col min="4" max="4" width="22.88671875" style="3" customWidth="1"/>
    <col min="5" max="5" width="9.44140625" style="3" customWidth="1"/>
    <col min="6" max="7" width="12" style="3" customWidth="1"/>
    <col min="8" max="8" width="10.44140625" style="4" customWidth="1"/>
    <col min="9" max="9" width="7.44140625" style="4" customWidth="1"/>
    <col min="10" max="10" width="12.44140625" style="4" customWidth="1"/>
    <col min="11" max="11" width="35.33203125" style="2" customWidth="1"/>
    <col min="12" max="12" width="20.33203125" style="4" customWidth="1"/>
    <col min="13" max="13" width="10.88671875" style="4" customWidth="1"/>
    <col min="14" max="14" width="13.44140625" style="3" customWidth="1"/>
    <col min="15" max="15" width="11.6640625" style="3" customWidth="1"/>
    <col min="16" max="16" width="15.44140625" style="4" customWidth="1"/>
    <col min="17" max="17" width="10.6640625" style="2" customWidth="1"/>
    <col min="18" max="18" width="18.44140625" style="3" customWidth="1"/>
    <col min="19" max="19" width="30.33203125" style="2" customWidth="1"/>
    <col min="20" max="20" width="22" style="2" customWidth="1"/>
    <col min="21" max="16384" width="8.88671875" style="2"/>
  </cols>
  <sheetData>
    <row r="1" spans="1:19" x14ac:dyDescent="0.3">
      <c r="A1" s="77" t="s">
        <v>0</v>
      </c>
      <c r="B1" s="98"/>
      <c r="C1" s="98"/>
      <c r="K1" s="97" t="s">
        <v>911</v>
      </c>
      <c r="L1" s="3"/>
      <c r="M1" s="5" t="s">
        <v>1</v>
      </c>
    </row>
    <row r="2" spans="1:19" x14ac:dyDescent="0.3">
      <c r="A2" s="77" t="s">
        <v>2</v>
      </c>
      <c r="B2" s="98" t="s">
        <v>3</v>
      </c>
      <c r="C2" s="98"/>
      <c r="K2" s="18" t="s">
        <v>859</v>
      </c>
      <c r="L2" s="3"/>
    </row>
    <row r="3" spans="1:19" x14ac:dyDescent="0.3">
      <c r="A3" s="77" t="s">
        <v>4</v>
      </c>
      <c r="B3" s="98"/>
      <c r="C3" s="98"/>
      <c r="K3" s="12" t="s">
        <v>860</v>
      </c>
      <c r="L3" s="3"/>
    </row>
    <row r="4" spans="1:19" x14ac:dyDescent="0.3">
      <c r="A4" s="77" t="s">
        <v>5</v>
      </c>
      <c r="B4" s="98" t="s">
        <v>3</v>
      </c>
      <c r="C4" s="98"/>
      <c r="K4" s="21" t="s">
        <v>861</v>
      </c>
      <c r="L4" s="3"/>
    </row>
    <row r="5" spans="1:19" x14ac:dyDescent="0.3">
      <c r="A5" s="77" t="s">
        <v>6</v>
      </c>
      <c r="B5" s="99">
        <v>45987</v>
      </c>
      <c r="C5" s="99"/>
      <c r="K5" s="16" t="s">
        <v>862</v>
      </c>
      <c r="L5" s="3"/>
    </row>
    <row r="6" spans="1:19" x14ac:dyDescent="0.3">
      <c r="A6" s="77" t="s">
        <v>7</v>
      </c>
      <c r="B6" s="98"/>
      <c r="C6" s="98"/>
      <c r="D6" s="2"/>
      <c r="E6" s="2"/>
      <c r="K6" s="35" t="s">
        <v>863</v>
      </c>
      <c r="L6" s="3"/>
    </row>
    <row r="7" spans="1:19" x14ac:dyDescent="0.3">
      <c r="A7" s="78"/>
      <c r="B7" s="74"/>
      <c r="C7" s="74"/>
      <c r="D7" s="2"/>
      <c r="E7" s="2"/>
      <c r="K7" s="92" t="s">
        <v>906</v>
      </c>
      <c r="L7" s="3"/>
    </row>
    <row r="8" spans="1:19" x14ac:dyDescent="0.3">
      <c r="A8" s="78"/>
      <c r="B8" s="74"/>
      <c r="C8" s="74"/>
      <c r="D8" s="2"/>
      <c r="E8" s="2"/>
      <c r="L8" s="3"/>
    </row>
    <row r="9" spans="1:19" ht="19.8" customHeight="1" x14ac:dyDescent="0.3">
      <c r="A9" s="1"/>
      <c r="D9" s="2"/>
      <c r="E9" s="2"/>
      <c r="L9" s="3"/>
    </row>
    <row r="10" spans="1:19" ht="19.8" customHeight="1" x14ac:dyDescent="0.3">
      <c r="A10" s="1"/>
      <c r="D10" s="76"/>
    </row>
    <row r="11" spans="1:19" ht="102.75" customHeight="1" x14ac:dyDescent="0.3">
      <c r="A11" s="8" t="s">
        <v>8</v>
      </c>
      <c r="B11" s="8" t="s">
        <v>9</v>
      </c>
      <c r="C11" s="8" t="s">
        <v>10</v>
      </c>
      <c r="D11" s="75" t="s">
        <v>11</v>
      </c>
      <c r="E11" s="8" t="s">
        <v>12</v>
      </c>
      <c r="F11" s="8" t="s">
        <v>13</v>
      </c>
      <c r="G11" s="8" t="s">
        <v>14</v>
      </c>
      <c r="H11" s="66" t="s">
        <v>15</v>
      </c>
      <c r="I11" s="69" t="s">
        <v>16</v>
      </c>
      <c r="J11" s="66" t="s">
        <v>17</v>
      </c>
      <c r="K11" s="8" t="s">
        <v>18</v>
      </c>
      <c r="L11" s="8" t="s">
        <v>19</v>
      </c>
      <c r="M11" s="8" t="s">
        <v>20</v>
      </c>
      <c r="N11" s="8" t="s">
        <v>21</v>
      </c>
      <c r="O11" s="8" t="s">
        <v>22</v>
      </c>
      <c r="P11" s="8" t="s">
        <v>23</v>
      </c>
      <c r="Q11" s="8" t="s">
        <v>24</v>
      </c>
      <c r="R11" s="65" t="s">
        <v>893</v>
      </c>
    </row>
    <row r="12" spans="1:19" s="54" customFormat="1" x14ac:dyDescent="0.3">
      <c r="A12" s="9" t="s">
        <v>28</v>
      </c>
      <c r="B12" s="10" t="s">
        <v>25</v>
      </c>
      <c r="C12" s="11" t="s">
        <v>29</v>
      </c>
      <c r="D12" s="11"/>
      <c r="E12" s="11"/>
      <c r="F12" s="10">
        <v>3.29</v>
      </c>
      <c r="G12" s="11"/>
      <c r="H12" s="11" t="s">
        <v>26</v>
      </c>
      <c r="I12" s="11">
        <v>5000</v>
      </c>
      <c r="J12" s="11">
        <v>164.3</v>
      </c>
      <c r="K12" s="11"/>
      <c r="L12" s="11">
        <v>102809</v>
      </c>
      <c r="M12" s="11" t="s">
        <v>31</v>
      </c>
      <c r="N12" s="10">
        <v>4</v>
      </c>
      <c r="O12" s="11"/>
      <c r="P12" s="11"/>
      <c r="Q12" s="11"/>
      <c r="R12" s="9" t="s">
        <v>857</v>
      </c>
      <c r="S12" s="2"/>
    </row>
    <row r="13" spans="1:19" s="54" customFormat="1" x14ac:dyDescent="0.3">
      <c r="A13" s="9" t="s">
        <v>42</v>
      </c>
      <c r="B13" s="10" t="s">
        <v>25</v>
      </c>
      <c r="C13" s="11" t="s">
        <v>40</v>
      </c>
      <c r="D13" s="11"/>
      <c r="E13" s="11"/>
      <c r="F13" s="10">
        <v>3.9539999999999999E-2</v>
      </c>
      <c r="G13" s="11"/>
      <c r="H13" s="11" t="s">
        <v>26</v>
      </c>
      <c r="I13" s="11">
        <v>1000</v>
      </c>
      <c r="J13" s="11">
        <v>39.54</v>
      </c>
      <c r="K13" s="11" t="s">
        <v>35</v>
      </c>
      <c r="L13" s="11" t="s">
        <v>36</v>
      </c>
      <c r="M13" s="11" t="s">
        <v>27</v>
      </c>
      <c r="N13" s="10">
        <v>4</v>
      </c>
      <c r="O13" s="11"/>
      <c r="P13" s="11" t="s">
        <v>37</v>
      </c>
      <c r="Q13" s="11"/>
      <c r="R13" s="9" t="s">
        <v>44</v>
      </c>
      <c r="S13" s="2"/>
    </row>
    <row r="14" spans="1:19" s="54" customFormat="1" x14ac:dyDescent="0.3">
      <c r="A14" s="59" t="s">
        <v>43</v>
      </c>
      <c r="B14" s="60" t="s">
        <v>25</v>
      </c>
      <c r="C14" s="61" t="s">
        <v>41</v>
      </c>
      <c r="D14" s="61"/>
      <c r="E14" s="61"/>
      <c r="F14" s="60">
        <v>3.5920000000000001E-2</v>
      </c>
      <c r="G14" s="61"/>
      <c r="H14" s="61" t="s">
        <v>26</v>
      </c>
      <c r="I14" s="61">
        <v>1000</v>
      </c>
      <c r="J14" s="61">
        <v>35.92</v>
      </c>
      <c r="K14" s="61" t="s">
        <v>35</v>
      </c>
      <c r="L14" s="61" t="s">
        <v>39</v>
      </c>
      <c r="M14" s="61" t="s">
        <v>27</v>
      </c>
      <c r="N14" s="60">
        <v>4</v>
      </c>
      <c r="O14" s="61"/>
      <c r="P14" s="61" t="s">
        <v>37</v>
      </c>
      <c r="Q14" s="61"/>
      <c r="R14" s="59" t="s">
        <v>858</v>
      </c>
      <c r="S14" s="2"/>
    </row>
    <row r="15" spans="1:19" s="54" customFormat="1" x14ac:dyDescent="0.3">
      <c r="A15" s="9" t="s">
        <v>32</v>
      </c>
      <c r="B15" s="10" t="s">
        <v>25</v>
      </c>
      <c r="C15" s="11" t="s">
        <v>34</v>
      </c>
      <c r="D15" s="11"/>
      <c r="E15" s="11"/>
      <c r="F15" s="10">
        <v>0.41924</v>
      </c>
      <c r="G15" s="11"/>
      <c r="H15" s="11" t="s">
        <v>26</v>
      </c>
      <c r="I15" s="11">
        <v>250</v>
      </c>
      <c r="J15" s="11">
        <v>104.81</v>
      </c>
      <c r="K15" s="11" t="s">
        <v>38</v>
      </c>
      <c r="L15" s="11" t="s">
        <v>30</v>
      </c>
      <c r="M15" s="11" t="s">
        <v>27</v>
      </c>
      <c r="N15" s="10">
        <v>7</v>
      </c>
      <c r="O15" s="11"/>
      <c r="P15" s="11" t="s">
        <v>33</v>
      </c>
      <c r="Q15" s="11"/>
      <c r="R15" s="9" t="s">
        <v>674</v>
      </c>
      <c r="S15" s="2"/>
    </row>
    <row r="16" spans="1:19" x14ac:dyDescent="0.3">
      <c r="A16" s="62" t="s">
        <v>45</v>
      </c>
      <c r="B16" s="9" t="s">
        <v>25</v>
      </c>
      <c r="C16" s="64" t="s">
        <v>46</v>
      </c>
      <c r="D16" s="64" t="s">
        <v>53</v>
      </c>
      <c r="E16" s="64"/>
      <c r="F16" s="63">
        <v>3.31E-3</v>
      </c>
      <c r="G16" s="64"/>
      <c r="H16" s="64" t="s">
        <v>26</v>
      </c>
      <c r="I16" s="64">
        <v>10000</v>
      </c>
      <c r="J16" s="64">
        <v>33.1</v>
      </c>
      <c r="K16" s="64" t="s">
        <v>47</v>
      </c>
      <c r="L16" s="64" t="s">
        <v>48</v>
      </c>
      <c r="M16" s="64" t="s">
        <v>27</v>
      </c>
      <c r="N16" s="63">
        <v>12</v>
      </c>
      <c r="O16" s="64"/>
      <c r="P16" s="64" t="s">
        <v>49</v>
      </c>
      <c r="Q16" s="64"/>
      <c r="R16" s="62" t="s">
        <v>50</v>
      </c>
    </row>
    <row r="17" spans="1:19" s="57" customFormat="1" x14ac:dyDescent="0.3">
      <c r="A17" s="20" t="s">
        <v>51</v>
      </c>
      <c r="B17" s="20" t="s">
        <v>111</v>
      </c>
      <c r="C17" s="22" t="s">
        <v>52</v>
      </c>
      <c r="D17" s="22" t="s">
        <v>53</v>
      </c>
      <c r="E17" s="22"/>
      <c r="F17" s="29">
        <v>3.0599999999999998E-3</v>
      </c>
      <c r="G17" s="22"/>
      <c r="H17" s="22" t="s">
        <v>26</v>
      </c>
      <c r="I17" s="30">
        <v>5000</v>
      </c>
      <c r="J17" s="22">
        <v>15.3</v>
      </c>
      <c r="K17" s="22" t="s">
        <v>57</v>
      </c>
      <c r="L17" s="22" t="s">
        <v>864</v>
      </c>
      <c r="M17" s="22" t="s">
        <v>27</v>
      </c>
      <c r="N17" s="29">
        <v>18</v>
      </c>
      <c r="O17" s="22"/>
      <c r="P17" s="22" t="s">
        <v>49</v>
      </c>
      <c r="Q17" s="22"/>
      <c r="R17" s="20" t="s">
        <v>54</v>
      </c>
      <c r="S17" s="2"/>
    </row>
    <row r="18" spans="1:19" s="57" customFormat="1" x14ac:dyDescent="0.3">
      <c r="A18" s="20" t="s">
        <v>55</v>
      </c>
      <c r="B18" s="20" t="s">
        <v>111</v>
      </c>
      <c r="C18" s="22" t="s">
        <v>56</v>
      </c>
      <c r="D18" s="22" t="s">
        <v>53</v>
      </c>
      <c r="E18" s="22"/>
      <c r="F18" s="29">
        <v>1.6000000000000001E-3</v>
      </c>
      <c r="G18" s="22"/>
      <c r="H18" s="22" t="s">
        <v>26</v>
      </c>
      <c r="I18" s="30">
        <v>10000</v>
      </c>
      <c r="J18" s="22">
        <v>16</v>
      </c>
      <c r="K18" s="22" t="s">
        <v>866</v>
      </c>
      <c r="L18" s="22" t="s">
        <v>865</v>
      </c>
      <c r="M18" s="22" t="s">
        <v>27</v>
      </c>
      <c r="N18" s="29">
        <v>4</v>
      </c>
      <c r="O18" s="22"/>
      <c r="P18" s="22" t="s">
        <v>58</v>
      </c>
      <c r="Q18" s="22"/>
      <c r="R18" s="20" t="s">
        <v>59</v>
      </c>
      <c r="S18" s="2"/>
    </row>
    <row r="19" spans="1:19" s="57" customFormat="1" x14ac:dyDescent="0.3">
      <c r="A19" s="20" t="s">
        <v>60</v>
      </c>
      <c r="B19" s="20" t="s">
        <v>111</v>
      </c>
      <c r="C19" s="22" t="s">
        <v>61</v>
      </c>
      <c r="D19" s="22" t="s">
        <v>62</v>
      </c>
      <c r="E19" s="22"/>
      <c r="F19" s="29">
        <v>4.4900000000000001E-3</v>
      </c>
      <c r="G19" s="22"/>
      <c r="H19" s="22" t="s">
        <v>26</v>
      </c>
      <c r="I19" s="30">
        <v>4000</v>
      </c>
      <c r="J19" s="22">
        <v>17.96</v>
      </c>
      <c r="K19" s="22" t="s">
        <v>171</v>
      </c>
      <c r="L19" s="22" t="s">
        <v>867</v>
      </c>
      <c r="M19" s="22" t="s">
        <v>27</v>
      </c>
      <c r="N19" s="29">
        <v>31</v>
      </c>
      <c r="O19" s="22"/>
      <c r="P19" s="22" t="s">
        <v>58</v>
      </c>
      <c r="Q19" s="22"/>
      <c r="R19" s="20" t="s">
        <v>63</v>
      </c>
      <c r="S19" s="2"/>
    </row>
    <row r="20" spans="1:19" s="91" customFormat="1" x14ac:dyDescent="0.3">
      <c r="A20" s="87" t="s">
        <v>64</v>
      </c>
      <c r="B20" s="88" t="s">
        <v>111</v>
      </c>
      <c r="C20" s="89" t="s">
        <v>65</v>
      </c>
      <c r="D20" s="89" t="s">
        <v>53</v>
      </c>
      <c r="E20" s="89"/>
      <c r="F20" s="88">
        <v>4.4200000000000003E-3</v>
      </c>
      <c r="G20" s="89"/>
      <c r="H20" s="89" t="s">
        <v>26</v>
      </c>
      <c r="I20" s="90">
        <v>5000</v>
      </c>
      <c r="J20" s="89">
        <v>22.1</v>
      </c>
      <c r="K20" s="89" t="s">
        <v>890</v>
      </c>
      <c r="L20" s="89" t="s">
        <v>889</v>
      </c>
      <c r="M20" s="89"/>
      <c r="N20" s="88">
        <v>7</v>
      </c>
      <c r="O20" s="89"/>
      <c r="P20" s="89" t="s">
        <v>49</v>
      </c>
      <c r="Q20" s="89"/>
      <c r="R20" s="87" t="s">
        <v>66</v>
      </c>
      <c r="S20" s="2"/>
    </row>
    <row r="21" spans="1:19" s="57" customFormat="1" x14ac:dyDescent="0.3">
      <c r="A21" s="20" t="s">
        <v>67</v>
      </c>
      <c r="B21" s="20" t="s">
        <v>111</v>
      </c>
      <c r="C21" s="22" t="s">
        <v>68</v>
      </c>
      <c r="D21" s="22" t="s">
        <v>69</v>
      </c>
      <c r="E21" s="22"/>
      <c r="F21" s="29">
        <v>4.0800000000000003E-3</v>
      </c>
      <c r="G21" s="22"/>
      <c r="H21" s="22" t="s">
        <v>26</v>
      </c>
      <c r="I21" s="30">
        <v>5000</v>
      </c>
      <c r="J21" s="22">
        <v>20.399999999999999</v>
      </c>
      <c r="K21" s="22" t="s">
        <v>57</v>
      </c>
      <c r="L21" s="22" t="s">
        <v>868</v>
      </c>
      <c r="M21" s="22" t="s">
        <v>27</v>
      </c>
      <c r="N21" s="29">
        <v>18</v>
      </c>
      <c r="O21" s="22"/>
      <c r="P21" s="22" t="s">
        <v>49</v>
      </c>
      <c r="Q21" s="22"/>
      <c r="R21" s="20" t="s">
        <v>70</v>
      </c>
      <c r="S21" s="2"/>
    </row>
    <row r="22" spans="1:19" s="91" customFormat="1" x14ac:dyDescent="0.3">
      <c r="A22" s="87" t="s">
        <v>907</v>
      </c>
      <c r="B22" s="88" t="s">
        <v>111</v>
      </c>
      <c r="C22" s="89" t="s">
        <v>71</v>
      </c>
      <c r="D22" s="89" t="s">
        <v>53</v>
      </c>
      <c r="E22" s="89"/>
      <c r="F22" s="88">
        <v>8.8100000000000001E-3</v>
      </c>
      <c r="G22" s="89"/>
      <c r="H22" s="89" t="s">
        <v>26</v>
      </c>
      <c r="I22" s="90">
        <v>4000</v>
      </c>
      <c r="J22" s="89">
        <v>35.24</v>
      </c>
      <c r="K22" s="89" t="s">
        <v>120</v>
      </c>
      <c r="L22" s="89" t="s">
        <v>908</v>
      </c>
      <c r="M22" s="89"/>
      <c r="N22" s="88">
        <v>19</v>
      </c>
      <c r="O22" s="89"/>
      <c r="P22" s="89" t="s">
        <v>58</v>
      </c>
      <c r="Q22" s="89"/>
      <c r="R22" s="87" t="s">
        <v>72</v>
      </c>
    </row>
    <row r="23" spans="1:19" s="57" customFormat="1" x14ac:dyDescent="0.3">
      <c r="A23" s="20" t="s">
        <v>73</v>
      </c>
      <c r="B23" s="20" t="s">
        <v>111</v>
      </c>
      <c r="C23" s="22" t="s">
        <v>74</v>
      </c>
      <c r="D23" s="22" t="s">
        <v>53</v>
      </c>
      <c r="E23" s="22"/>
      <c r="F23" s="29">
        <v>4.1999999999999997E-3</v>
      </c>
      <c r="G23" s="22"/>
      <c r="H23" s="22" t="s">
        <v>26</v>
      </c>
      <c r="I23" s="22">
        <v>5000</v>
      </c>
      <c r="J23" s="22">
        <v>21</v>
      </c>
      <c r="K23" s="22" t="s">
        <v>75</v>
      </c>
      <c r="L23" s="22" t="s">
        <v>869</v>
      </c>
      <c r="M23" s="22" t="s">
        <v>27</v>
      </c>
      <c r="N23" s="29">
        <v>16</v>
      </c>
      <c r="O23" s="22"/>
      <c r="P23" s="22" t="s">
        <v>49</v>
      </c>
      <c r="Q23" s="22"/>
      <c r="R23" s="20" t="s">
        <v>76</v>
      </c>
      <c r="S23" s="2"/>
    </row>
    <row r="24" spans="1:19" s="57" customFormat="1" x14ac:dyDescent="0.3">
      <c r="A24" s="20" t="s">
        <v>77</v>
      </c>
      <c r="B24" s="20" t="s">
        <v>111</v>
      </c>
      <c r="C24" s="22" t="s">
        <v>78</v>
      </c>
      <c r="D24" s="22" t="s">
        <v>69</v>
      </c>
      <c r="E24" s="22"/>
      <c r="F24" s="29">
        <v>4.0800000000000003E-3</v>
      </c>
      <c r="G24" s="22"/>
      <c r="H24" s="22" t="s">
        <v>26</v>
      </c>
      <c r="I24" s="30">
        <v>5000</v>
      </c>
      <c r="J24" s="22">
        <v>20.399999999999999</v>
      </c>
      <c r="K24" s="22" t="s">
        <v>57</v>
      </c>
      <c r="L24" s="22" t="s">
        <v>870</v>
      </c>
      <c r="M24" s="22" t="s">
        <v>27</v>
      </c>
      <c r="N24" s="29">
        <v>18</v>
      </c>
      <c r="O24" s="22"/>
      <c r="P24" s="22" t="s">
        <v>49</v>
      </c>
      <c r="Q24" s="22"/>
      <c r="R24" s="20" t="s">
        <v>79</v>
      </c>
      <c r="S24" s="2"/>
    </row>
    <row r="25" spans="1:19" x14ac:dyDescent="0.3">
      <c r="A25" s="9" t="s">
        <v>80</v>
      </c>
      <c r="B25" s="9" t="s">
        <v>25</v>
      </c>
      <c r="C25" s="11" t="s">
        <v>81</v>
      </c>
      <c r="D25" s="11" t="s">
        <v>53</v>
      </c>
      <c r="E25" s="11"/>
      <c r="F25" s="10">
        <v>4.0800000000000003E-3</v>
      </c>
      <c r="G25" s="11"/>
      <c r="H25" s="11" t="s">
        <v>26</v>
      </c>
      <c r="I25" s="11">
        <v>5000</v>
      </c>
      <c r="J25" s="11">
        <v>20.399999999999999</v>
      </c>
      <c r="K25" s="11" t="s">
        <v>57</v>
      </c>
      <c r="L25" s="11" t="s">
        <v>82</v>
      </c>
      <c r="M25" s="11" t="s">
        <v>27</v>
      </c>
      <c r="N25" s="10">
        <v>18</v>
      </c>
      <c r="O25" s="11"/>
      <c r="P25" s="11" t="s">
        <v>49</v>
      </c>
      <c r="Q25" s="11"/>
      <c r="R25" s="9" t="s">
        <v>83</v>
      </c>
    </row>
    <row r="26" spans="1:19" x14ac:dyDescent="0.3">
      <c r="A26" s="9" t="s">
        <v>84</v>
      </c>
      <c r="B26" s="9" t="s">
        <v>25</v>
      </c>
      <c r="C26" s="11" t="s">
        <v>85</v>
      </c>
      <c r="D26" s="11" t="s">
        <v>53</v>
      </c>
      <c r="E26" s="11"/>
      <c r="F26" s="10">
        <v>1.3050000000000001E-2</v>
      </c>
      <c r="G26" s="11"/>
      <c r="H26" s="11" t="s">
        <v>26</v>
      </c>
      <c r="I26" s="11">
        <v>5000</v>
      </c>
      <c r="J26" s="11">
        <v>65.25</v>
      </c>
      <c r="K26" s="11" t="s">
        <v>47</v>
      </c>
      <c r="L26" s="11" t="s">
        <v>86</v>
      </c>
      <c r="M26" s="11" t="s">
        <v>27</v>
      </c>
      <c r="N26" s="10">
        <v>15</v>
      </c>
      <c r="O26" s="11"/>
      <c r="P26" s="11" t="s">
        <v>49</v>
      </c>
      <c r="Q26" s="11"/>
      <c r="R26" s="9" t="s">
        <v>87</v>
      </c>
    </row>
    <row r="27" spans="1:19" s="57" customFormat="1" x14ac:dyDescent="0.3">
      <c r="A27" s="20" t="s">
        <v>88</v>
      </c>
      <c r="B27" s="20" t="s">
        <v>111</v>
      </c>
      <c r="C27" s="22" t="s">
        <v>89</v>
      </c>
      <c r="D27" s="22" t="s">
        <v>53</v>
      </c>
      <c r="E27" s="22"/>
      <c r="F27" s="29">
        <v>3.3800000000000002E-3</v>
      </c>
      <c r="G27" s="22"/>
      <c r="H27" s="22" t="s">
        <v>26</v>
      </c>
      <c r="I27" s="30">
        <v>5000</v>
      </c>
      <c r="J27" s="22">
        <v>16.899999999999999</v>
      </c>
      <c r="K27" s="22" t="s">
        <v>560</v>
      </c>
      <c r="L27" s="22" t="s">
        <v>90</v>
      </c>
      <c r="M27" s="22" t="s">
        <v>27</v>
      </c>
      <c r="N27" s="29">
        <v>21</v>
      </c>
      <c r="O27" s="22"/>
      <c r="P27" s="22" t="s">
        <v>49</v>
      </c>
      <c r="Q27" s="22"/>
      <c r="R27" s="20" t="s">
        <v>91</v>
      </c>
      <c r="S27" s="2"/>
    </row>
    <row r="28" spans="1:19" s="57" customFormat="1" x14ac:dyDescent="0.3">
      <c r="A28" s="20" t="s">
        <v>92</v>
      </c>
      <c r="B28" s="20" t="s">
        <v>111</v>
      </c>
      <c r="C28" s="22" t="s">
        <v>93</v>
      </c>
      <c r="D28" s="22" t="s">
        <v>53</v>
      </c>
      <c r="E28" s="22"/>
      <c r="F28" s="29">
        <v>3.15E-3</v>
      </c>
      <c r="G28" s="22"/>
      <c r="H28" s="22" t="s">
        <v>26</v>
      </c>
      <c r="I28" s="30">
        <v>5000</v>
      </c>
      <c r="J28" s="22">
        <v>15.75</v>
      </c>
      <c r="K28" s="22" t="s">
        <v>94</v>
      </c>
      <c r="L28" s="22" t="s">
        <v>871</v>
      </c>
      <c r="M28" s="22" t="s">
        <v>27</v>
      </c>
      <c r="N28" s="29">
        <v>16</v>
      </c>
      <c r="O28" s="22"/>
      <c r="P28" s="22" t="s">
        <v>58</v>
      </c>
      <c r="Q28" s="22"/>
      <c r="R28" s="20" t="s">
        <v>95</v>
      </c>
      <c r="S28" s="2"/>
    </row>
    <row r="29" spans="1:19" x14ac:dyDescent="0.3">
      <c r="A29" s="9" t="s">
        <v>96</v>
      </c>
      <c r="B29" s="9" t="s">
        <v>25</v>
      </c>
      <c r="C29" s="11" t="s">
        <v>97</v>
      </c>
      <c r="D29" s="11" t="s">
        <v>53</v>
      </c>
      <c r="E29" s="11"/>
      <c r="F29" s="10">
        <v>4.0399999999999998E-2</v>
      </c>
      <c r="G29" s="11"/>
      <c r="H29" s="11" t="s">
        <v>26</v>
      </c>
      <c r="I29" s="11">
        <v>5000</v>
      </c>
      <c r="J29" s="11">
        <v>202</v>
      </c>
      <c r="K29" s="11" t="s">
        <v>47</v>
      </c>
      <c r="L29" s="11" t="s">
        <v>98</v>
      </c>
      <c r="M29" s="11" t="s">
        <v>27</v>
      </c>
      <c r="N29" s="10">
        <v>12</v>
      </c>
      <c r="O29" s="11"/>
      <c r="P29" s="11" t="s">
        <v>49</v>
      </c>
      <c r="Q29" s="11"/>
      <c r="R29" s="9" t="s">
        <v>99</v>
      </c>
    </row>
    <row r="30" spans="1:19" x14ac:dyDescent="0.3">
      <c r="A30" s="9" t="s">
        <v>100</v>
      </c>
      <c r="B30" s="9" t="s">
        <v>25</v>
      </c>
      <c r="C30" s="11" t="s">
        <v>101</v>
      </c>
      <c r="D30" s="11" t="s">
        <v>53</v>
      </c>
      <c r="E30" s="11"/>
      <c r="F30" s="10">
        <v>0.32500000000000001</v>
      </c>
      <c r="G30" s="11"/>
      <c r="H30" s="11" t="s">
        <v>26</v>
      </c>
      <c r="I30" s="11">
        <v>1000</v>
      </c>
      <c r="J30" s="11">
        <v>325</v>
      </c>
      <c r="K30" s="11" t="s">
        <v>102</v>
      </c>
      <c r="L30" s="11" t="s">
        <v>103</v>
      </c>
      <c r="M30" s="11" t="s">
        <v>27</v>
      </c>
      <c r="N30" s="10">
        <v>12</v>
      </c>
      <c r="O30" s="11"/>
      <c r="P30" s="11" t="s">
        <v>104</v>
      </c>
      <c r="Q30" s="11"/>
      <c r="R30" s="9" t="s">
        <v>105</v>
      </c>
    </row>
    <row r="31" spans="1:19" s="57" customFormat="1" x14ac:dyDescent="0.3">
      <c r="A31" s="20" t="s">
        <v>106</v>
      </c>
      <c r="B31" s="20" t="s">
        <v>25</v>
      </c>
      <c r="C31" s="22" t="s">
        <v>107</v>
      </c>
      <c r="D31" s="22" t="s">
        <v>53</v>
      </c>
      <c r="E31" s="22"/>
      <c r="F31" s="29">
        <v>3.15E-3</v>
      </c>
      <c r="G31" s="22"/>
      <c r="H31" s="22" t="s">
        <v>26</v>
      </c>
      <c r="I31" s="30">
        <v>5000</v>
      </c>
      <c r="J31" s="22">
        <v>15.75</v>
      </c>
      <c r="K31" s="22" t="s">
        <v>142</v>
      </c>
      <c r="L31" s="22" t="s">
        <v>108</v>
      </c>
      <c r="M31" s="22" t="s">
        <v>27</v>
      </c>
      <c r="N31" s="29">
        <v>17</v>
      </c>
      <c r="O31" s="22"/>
      <c r="P31" s="22" t="s">
        <v>49</v>
      </c>
      <c r="Q31" s="22"/>
      <c r="R31" s="20" t="s">
        <v>109</v>
      </c>
      <c r="S31" s="2"/>
    </row>
    <row r="32" spans="1:19" s="57" customFormat="1" x14ac:dyDescent="0.3">
      <c r="A32" s="20" t="s">
        <v>110</v>
      </c>
      <c r="B32" s="20" t="s">
        <v>111</v>
      </c>
      <c r="C32" s="22" t="s">
        <v>112</v>
      </c>
      <c r="D32" s="22" t="s">
        <v>113</v>
      </c>
      <c r="E32" s="22"/>
      <c r="F32" s="29">
        <v>2.1000000000000001E-2</v>
      </c>
      <c r="G32" s="22"/>
      <c r="H32" s="22" t="s">
        <v>26</v>
      </c>
      <c r="I32" s="22">
        <v>3000</v>
      </c>
      <c r="J32" s="22">
        <v>63</v>
      </c>
      <c r="K32" s="22" t="s">
        <v>114</v>
      </c>
      <c r="L32" s="22" t="s">
        <v>115</v>
      </c>
      <c r="M32" s="22" t="s">
        <v>27</v>
      </c>
      <c r="N32" s="29">
        <v>10</v>
      </c>
      <c r="O32" s="22"/>
      <c r="P32" s="22" t="s">
        <v>116</v>
      </c>
      <c r="Q32" s="22"/>
      <c r="R32" s="20" t="s">
        <v>117</v>
      </c>
      <c r="S32" s="2"/>
    </row>
    <row r="33" spans="1:19" s="57" customFormat="1" x14ac:dyDescent="0.3">
      <c r="A33" s="20" t="s">
        <v>118</v>
      </c>
      <c r="B33" s="29" t="s">
        <v>111</v>
      </c>
      <c r="C33" s="22" t="s">
        <v>119</v>
      </c>
      <c r="D33" s="22" t="s">
        <v>53</v>
      </c>
      <c r="E33" s="22"/>
      <c r="F33" s="29">
        <v>3.9669999999999997E-2</v>
      </c>
      <c r="G33" s="22"/>
      <c r="H33" s="22" t="s">
        <v>26</v>
      </c>
      <c r="I33" s="22">
        <v>4000</v>
      </c>
      <c r="J33" s="22">
        <v>158.68</v>
      </c>
      <c r="K33" s="22" t="s">
        <v>120</v>
      </c>
      <c r="L33" s="22" t="s">
        <v>121</v>
      </c>
      <c r="M33" s="22" t="s">
        <v>27</v>
      </c>
      <c r="N33" s="29">
        <v>12</v>
      </c>
      <c r="O33" s="22"/>
      <c r="P33" s="22" t="s">
        <v>58</v>
      </c>
      <c r="Q33" s="22"/>
      <c r="R33" s="20" t="s">
        <v>122</v>
      </c>
      <c r="S33" s="2"/>
    </row>
    <row r="34" spans="1:19" x14ac:dyDescent="0.3">
      <c r="A34" s="9" t="s">
        <v>123</v>
      </c>
      <c r="B34" s="9" t="s">
        <v>25</v>
      </c>
      <c r="C34" s="12" t="s">
        <v>124</v>
      </c>
      <c r="D34" s="11" t="s">
        <v>53</v>
      </c>
      <c r="E34" s="11"/>
      <c r="F34" s="10">
        <v>1.091E-2</v>
      </c>
      <c r="G34" s="11"/>
      <c r="H34" s="11" t="s">
        <v>26</v>
      </c>
      <c r="I34" s="11">
        <v>5000</v>
      </c>
      <c r="J34" s="11">
        <v>54.55</v>
      </c>
      <c r="K34" s="11" t="s">
        <v>47</v>
      </c>
      <c r="L34" s="11" t="s">
        <v>125</v>
      </c>
      <c r="M34" s="11" t="s">
        <v>27</v>
      </c>
      <c r="N34" s="10">
        <v>15</v>
      </c>
      <c r="O34" s="11"/>
      <c r="P34" s="11" t="s">
        <v>49</v>
      </c>
      <c r="Q34" s="11"/>
      <c r="R34" s="9" t="s">
        <v>126</v>
      </c>
    </row>
    <row r="35" spans="1:19" x14ac:dyDescent="0.3">
      <c r="A35" s="9" t="s">
        <v>127</v>
      </c>
      <c r="B35" s="9" t="s">
        <v>25</v>
      </c>
      <c r="C35" s="12" t="s">
        <v>128</v>
      </c>
      <c r="D35" s="11" t="s">
        <v>53</v>
      </c>
      <c r="E35" s="11"/>
      <c r="F35" s="10">
        <v>4.3749999999999997E-2</v>
      </c>
      <c r="G35" s="11"/>
      <c r="H35" s="11" t="s">
        <v>26</v>
      </c>
      <c r="I35" s="11">
        <v>4000</v>
      </c>
      <c r="J35" s="11">
        <v>175</v>
      </c>
      <c r="K35" s="11" t="s">
        <v>120</v>
      </c>
      <c r="L35" s="11" t="s">
        <v>129</v>
      </c>
      <c r="M35" s="11" t="s">
        <v>27</v>
      </c>
      <c r="N35" s="10">
        <v>12</v>
      </c>
      <c r="O35" s="11"/>
      <c r="P35" s="11" t="s">
        <v>58</v>
      </c>
      <c r="Q35" s="11"/>
      <c r="R35" s="9" t="s">
        <v>130</v>
      </c>
    </row>
    <row r="36" spans="1:19" s="54" customFormat="1" x14ac:dyDescent="0.3">
      <c r="A36" s="9" t="s">
        <v>872</v>
      </c>
      <c r="B36" s="9" t="s">
        <v>25</v>
      </c>
      <c r="C36" s="12" t="s">
        <v>131</v>
      </c>
      <c r="D36" s="11" t="s">
        <v>53</v>
      </c>
      <c r="E36" s="11"/>
      <c r="F36" s="10">
        <v>7.0999999999999994E-2</v>
      </c>
      <c r="G36" s="11"/>
      <c r="H36" s="11" t="s">
        <v>26</v>
      </c>
      <c r="I36" s="11">
        <v>5000</v>
      </c>
      <c r="J36" s="11">
        <v>355</v>
      </c>
      <c r="K36" s="11" t="s">
        <v>132</v>
      </c>
      <c r="L36" s="11" t="s">
        <v>133</v>
      </c>
      <c r="M36" s="11" t="s">
        <v>27</v>
      </c>
      <c r="N36" s="10">
        <v>12</v>
      </c>
      <c r="O36" s="11"/>
      <c r="P36" s="11" t="s">
        <v>134</v>
      </c>
      <c r="Q36" s="11"/>
      <c r="R36" s="9" t="s">
        <v>135</v>
      </c>
      <c r="S36" s="2"/>
    </row>
    <row r="37" spans="1:19" s="57" customFormat="1" x14ac:dyDescent="0.3">
      <c r="A37" s="20" t="s">
        <v>136</v>
      </c>
      <c r="B37" s="20" t="s">
        <v>111</v>
      </c>
      <c r="C37" s="21" t="s">
        <v>137</v>
      </c>
      <c r="D37" s="22" t="s">
        <v>53</v>
      </c>
      <c r="E37" s="22"/>
      <c r="F37" s="29">
        <v>1.2880000000000001E-2</v>
      </c>
      <c r="G37" s="22"/>
      <c r="H37" s="22" t="s">
        <v>26</v>
      </c>
      <c r="I37" s="22">
        <v>4000</v>
      </c>
      <c r="J37" s="22">
        <v>51.52</v>
      </c>
      <c r="K37" s="22" t="s">
        <v>120</v>
      </c>
      <c r="L37" s="22" t="s">
        <v>138</v>
      </c>
      <c r="M37" s="22" t="s">
        <v>27</v>
      </c>
      <c r="N37" s="29">
        <v>12</v>
      </c>
      <c r="O37" s="22"/>
      <c r="P37" s="22" t="s">
        <v>58</v>
      </c>
      <c r="Q37" s="22"/>
      <c r="R37" s="20" t="s">
        <v>139</v>
      </c>
      <c r="S37" s="2"/>
    </row>
    <row r="38" spans="1:19" x14ac:dyDescent="0.3">
      <c r="A38" s="9" t="s">
        <v>140</v>
      </c>
      <c r="B38" s="9" t="s">
        <v>25</v>
      </c>
      <c r="C38" s="12" t="s">
        <v>141</v>
      </c>
      <c r="D38" s="11" t="s">
        <v>53</v>
      </c>
      <c r="E38" s="11"/>
      <c r="F38" s="10">
        <v>8.3999999999999995E-3</v>
      </c>
      <c r="G38" s="11"/>
      <c r="H38" s="11" t="s">
        <v>26</v>
      </c>
      <c r="I38" s="11">
        <v>5000</v>
      </c>
      <c r="J38" s="11">
        <v>42</v>
      </c>
      <c r="K38" s="11" t="s">
        <v>142</v>
      </c>
      <c r="L38" s="11" t="s">
        <v>143</v>
      </c>
      <c r="M38" s="11" t="s">
        <v>27</v>
      </c>
      <c r="N38" s="10">
        <v>17</v>
      </c>
      <c r="O38" s="11"/>
      <c r="P38" s="11" t="s">
        <v>49</v>
      </c>
      <c r="Q38" s="11"/>
      <c r="R38" s="9" t="s">
        <v>144</v>
      </c>
    </row>
    <row r="39" spans="1:19" x14ac:dyDescent="0.3">
      <c r="A39" s="17" t="s">
        <v>145</v>
      </c>
      <c r="B39" s="17" t="s">
        <v>25</v>
      </c>
      <c r="C39" s="18" t="s">
        <v>146</v>
      </c>
      <c r="D39" s="19" t="s">
        <v>53</v>
      </c>
      <c r="E39" s="19"/>
      <c r="F39" s="33"/>
      <c r="G39" s="19"/>
      <c r="H39" s="19" t="s">
        <v>26</v>
      </c>
      <c r="I39" s="19"/>
      <c r="J39" s="19"/>
      <c r="K39" s="19"/>
      <c r="L39" s="19" t="s">
        <v>147</v>
      </c>
      <c r="M39" s="19"/>
      <c r="N39" s="33"/>
      <c r="O39" s="19"/>
      <c r="P39" s="19"/>
      <c r="Q39" s="19"/>
      <c r="R39" s="17" t="s">
        <v>148</v>
      </c>
    </row>
    <row r="40" spans="1:19" x14ac:dyDescent="0.3">
      <c r="A40" s="9" t="s">
        <v>149</v>
      </c>
      <c r="B40" s="9" t="s">
        <v>25</v>
      </c>
      <c r="C40" s="12" t="s">
        <v>150</v>
      </c>
      <c r="D40" s="11" t="s">
        <v>53</v>
      </c>
      <c r="E40" s="11"/>
      <c r="F40" s="10">
        <v>0.38130999999999998</v>
      </c>
      <c r="G40" s="11"/>
      <c r="H40" s="11" t="s">
        <v>26</v>
      </c>
      <c r="I40" s="11">
        <v>1000</v>
      </c>
      <c r="J40" s="11">
        <v>381.31</v>
      </c>
      <c r="K40" s="11" t="s">
        <v>151</v>
      </c>
      <c r="L40" s="11" t="s">
        <v>152</v>
      </c>
      <c r="M40" s="11" t="s">
        <v>27</v>
      </c>
      <c r="N40" s="10">
        <v>18</v>
      </c>
      <c r="O40" s="11"/>
      <c r="P40" s="11" t="s">
        <v>153</v>
      </c>
      <c r="Q40" s="11"/>
      <c r="R40" s="9" t="s">
        <v>154</v>
      </c>
    </row>
    <row r="41" spans="1:19" x14ac:dyDescent="0.3">
      <c r="A41" s="13" t="s">
        <v>155</v>
      </c>
      <c r="B41" s="13" t="s">
        <v>25</v>
      </c>
      <c r="C41" s="16" t="s">
        <v>156</v>
      </c>
      <c r="D41" s="15" t="s">
        <v>53</v>
      </c>
      <c r="E41" s="15"/>
      <c r="F41" s="14"/>
      <c r="G41" s="15"/>
      <c r="H41" s="15" t="s">
        <v>26</v>
      </c>
      <c r="I41" s="15"/>
      <c r="J41" s="15"/>
      <c r="K41" s="15"/>
      <c r="L41" s="15" t="s">
        <v>157</v>
      </c>
      <c r="M41" s="15"/>
      <c r="N41" s="14"/>
      <c r="O41" s="15"/>
      <c r="P41" s="15"/>
      <c r="Q41" s="15"/>
      <c r="R41" s="13" t="s">
        <v>158</v>
      </c>
    </row>
    <row r="42" spans="1:19" x14ac:dyDescent="0.3">
      <c r="A42" s="17" t="s">
        <v>159</v>
      </c>
      <c r="B42" s="17" t="s">
        <v>25</v>
      </c>
      <c r="C42" s="18" t="s">
        <v>160</v>
      </c>
      <c r="D42" s="19" t="s">
        <v>161</v>
      </c>
      <c r="E42" s="19"/>
      <c r="F42" s="33"/>
      <c r="G42" s="19"/>
      <c r="H42" s="19" t="s">
        <v>26</v>
      </c>
      <c r="I42" s="19"/>
      <c r="J42" s="19"/>
      <c r="K42" s="19"/>
      <c r="L42" s="19" t="s">
        <v>162</v>
      </c>
      <c r="M42" s="19"/>
      <c r="N42" s="33"/>
      <c r="O42" s="19"/>
      <c r="P42" s="19"/>
      <c r="Q42" s="19"/>
      <c r="R42" s="17" t="s">
        <v>163</v>
      </c>
    </row>
    <row r="43" spans="1:19" x14ac:dyDescent="0.3">
      <c r="A43" s="9" t="s">
        <v>164</v>
      </c>
      <c r="B43" s="9" t="s">
        <v>25</v>
      </c>
      <c r="C43" s="12" t="s">
        <v>165</v>
      </c>
      <c r="D43" s="11" t="s">
        <v>53</v>
      </c>
      <c r="E43" s="11"/>
      <c r="F43" s="10">
        <v>6.5930000000000002E-2</v>
      </c>
      <c r="G43" s="11"/>
      <c r="H43" s="11" t="s">
        <v>26</v>
      </c>
      <c r="I43" s="11">
        <v>3000</v>
      </c>
      <c r="J43" s="11">
        <v>197.79</v>
      </c>
      <c r="K43" s="11" t="s">
        <v>166</v>
      </c>
      <c r="L43" s="11" t="s">
        <v>167</v>
      </c>
      <c r="M43" s="11" t="s">
        <v>27</v>
      </c>
      <c r="N43" s="10">
        <v>16</v>
      </c>
      <c r="O43" s="11"/>
      <c r="P43" s="11" t="s">
        <v>58</v>
      </c>
      <c r="Q43" s="11"/>
      <c r="R43" s="9" t="s">
        <v>168</v>
      </c>
    </row>
    <row r="44" spans="1:19" s="57" customFormat="1" x14ac:dyDescent="0.3">
      <c r="A44" s="20" t="s">
        <v>169</v>
      </c>
      <c r="B44" s="20" t="s">
        <v>111</v>
      </c>
      <c r="C44" s="21" t="s">
        <v>170</v>
      </c>
      <c r="D44" s="22" t="s">
        <v>53</v>
      </c>
      <c r="E44" s="22"/>
      <c r="F44" s="29">
        <v>5.6399999999999999E-2</v>
      </c>
      <c r="G44" s="22"/>
      <c r="H44" s="22" t="s">
        <v>26</v>
      </c>
      <c r="I44" s="22">
        <v>2000</v>
      </c>
      <c r="J44" s="22">
        <v>112.8</v>
      </c>
      <c r="K44" s="22" t="s">
        <v>171</v>
      </c>
      <c r="L44" s="22" t="s">
        <v>172</v>
      </c>
      <c r="M44" s="22" t="s">
        <v>27</v>
      </c>
      <c r="N44" s="29">
        <v>31</v>
      </c>
      <c r="O44" s="22"/>
      <c r="P44" s="22" t="s">
        <v>58</v>
      </c>
      <c r="Q44" s="22"/>
      <c r="R44" s="20" t="s">
        <v>173</v>
      </c>
      <c r="S44" s="2"/>
    </row>
    <row r="45" spans="1:19" x14ac:dyDescent="0.3">
      <c r="A45" s="20" t="s">
        <v>174</v>
      </c>
      <c r="B45" s="20" t="s">
        <v>111</v>
      </c>
      <c r="C45" s="21" t="s">
        <v>175</v>
      </c>
      <c r="D45" s="22" t="s">
        <v>161</v>
      </c>
      <c r="E45" s="22"/>
      <c r="F45" s="29">
        <v>0.23721</v>
      </c>
      <c r="G45" s="22"/>
      <c r="H45" s="22" t="s">
        <v>26</v>
      </c>
      <c r="I45" s="22">
        <v>1000</v>
      </c>
      <c r="J45" s="22">
        <v>237.21</v>
      </c>
      <c r="K45" s="22" t="s">
        <v>176</v>
      </c>
      <c r="L45" s="22" t="s">
        <v>177</v>
      </c>
      <c r="M45" s="22" t="s">
        <v>27</v>
      </c>
      <c r="N45" s="29">
        <v>4</v>
      </c>
      <c r="O45" s="22"/>
      <c r="P45" s="22" t="s">
        <v>178</v>
      </c>
      <c r="Q45" s="22"/>
      <c r="R45" s="20" t="s">
        <v>179</v>
      </c>
    </row>
    <row r="46" spans="1:19" x14ac:dyDescent="0.3">
      <c r="A46" s="17" t="s">
        <v>180</v>
      </c>
      <c r="B46" s="17" t="s">
        <v>25</v>
      </c>
      <c r="C46" s="18" t="s">
        <v>181</v>
      </c>
      <c r="D46" s="19" t="s">
        <v>161</v>
      </c>
      <c r="E46" s="19"/>
      <c r="F46" s="33"/>
      <c r="G46" s="19"/>
      <c r="H46" s="19" t="s">
        <v>26</v>
      </c>
      <c r="I46" s="19"/>
      <c r="J46" s="19"/>
      <c r="K46" s="19"/>
      <c r="L46" s="19" t="s">
        <v>182</v>
      </c>
      <c r="M46" s="19"/>
      <c r="N46" s="33"/>
      <c r="O46" s="19"/>
      <c r="P46" s="19"/>
      <c r="Q46" s="19"/>
      <c r="R46" s="17" t="s">
        <v>183</v>
      </c>
    </row>
    <row r="47" spans="1:19" x14ac:dyDescent="0.3">
      <c r="A47" s="17" t="s">
        <v>184</v>
      </c>
      <c r="B47" s="17" t="s">
        <v>25</v>
      </c>
      <c r="C47" s="18" t="s">
        <v>185</v>
      </c>
      <c r="D47" s="19"/>
      <c r="E47" s="19"/>
      <c r="F47" s="33"/>
      <c r="G47" s="19"/>
      <c r="H47" s="19" t="s">
        <v>26</v>
      </c>
      <c r="I47" s="19"/>
      <c r="J47" s="19"/>
      <c r="K47" s="19"/>
      <c r="L47" s="19" t="s">
        <v>186</v>
      </c>
      <c r="M47" s="19"/>
      <c r="N47" s="33"/>
      <c r="O47" s="19"/>
      <c r="P47" s="19"/>
      <c r="Q47" s="19"/>
      <c r="R47" s="17" t="s">
        <v>187</v>
      </c>
    </row>
    <row r="48" spans="1:19" x14ac:dyDescent="0.3">
      <c r="A48" s="17" t="s">
        <v>188</v>
      </c>
      <c r="B48" s="17" t="s">
        <v>25</v>
      </c>
      <c r="C48" s="18" t="s">
        <v>189</v>
      </c>
      <c r="D48" s="19" t="s">
        <v>161</v>
      </c>
      <c r="E48" s="19"/>
      <c r="F48" s="33"/>
      <c r="G48" s="19"/>
      <c r="H48" s="19" t="s">
        <v>26</v>
      </c>
      <c r="I48" s="19"/>
      <c r="J48" s="19"/>
      <c r="K48" s="19"/>
      <c r="L48" s="19" t="s">
        <v>190</v>
      </c>
      <c r="M48" s="19"/>
      <c r="N48" s="33"/>
      <c r="O48" s="19"/>
      <c r="P48" s="19"/>
      <c r="Q48" s="19"/>
      <c r="R48" s="17" t="s">
        <v>191</v>
      </c>
    </row>
    <row r="49" spans="1:19" x14ac:dyDescent="0.3">
      <c r="A49" s="17" t="s">
        <v>192</v>
      </c>
      <c r="B49" s="17" t="s">
        <v>25</v>
      </c>
      <c r="C49" s="18" t="s">
        <v>193</v>
      </c>
      <c r="D49" s="19" t="s">
        <v>161</v>
      </c>
      <c r="E49" s="19"/>
      <c r="F49" s="33"/>
      <c r="G49" s="19"/>
      <c r="H49" s="19" t="s">
        <v>26</v>
      </c>
      <c r="I49" s="19"/>
      <c r="J49" s="19"/>
      <c r="K49" s="19"/>
      <c r="L49" s="19" t="s">
        <v>194</v>
      </c>
      <c r="M49" s="19"/>
      <c r="N49" s="33"/>
      <c r="O49" s="19"/>
      <c r="P49" s="19"/>
      <c r="Q49" s="19"/>
      <c r="R49" s="17" t="s">
        <v>195</v>
      </c>
    </row>
    <row r="50" spans="1:19" x14ac:dyDescent="0.3">
      <c r="A50" s="9" t="s">
        <v>196</v>
      </c>
      <c r="B50" s="10" t="s">
        <v>25</v>
      </c>
      <c r="C50" s="12" t="s">
        <v>197</v>
      </c>
      <c r="D50" s="12" t="s">
        <v>161</v>
      </c>
      <c r="E50" s="12"/>
      <c r="F50" s="9">
        <v>1.2887</v>
      </c>
      <c r="G50" s="12"/>
      <c r="H50" s="23" t="s">
        <v>26</v>
      </c>
      <c r="I50" s="23">
        <v>100</v>
      </c>
      <c r="J50" s="23">
        <v>128.87</v>
      </c>
      <c r="K50" s="12" t="s">
        <v>176</v>
      </c>
      <c r="L50" s="12" t="s">
        <v>198</v>
      </c>
      <c r="M50" s="23" t="s">
        <v>27</v>
      </c>
      <c r="N50" s="9">
        <v>4</v>
      </c>
      <c r="O50" s="12"/>
      <c r="P50" s="12" t="s">
        <v>178</v>
      </c>
      <c r="Q50" s="12"/>
      <c r="R50" s="9" t="s">
        <v>199</v>
      </c>
    </row>
    <row r="51" spans="1:19" x14ac:dyDescent="0.3">
      <c r="A51" s="9" t="s">
        <v>200</v>
      </c>
      <c r="B51" s="10" t="s">
        <v>25</v>
      </c>
      <c r="C51" s="12" t="s">
        <v>201</v>
      </c>
      <c r="D51" s="12" t="s">
        <v>53</v>
      </c>
      <c r="E51" s="12"/>
      <c r="F51" s="9">
        <v>0.13188</v>
      </c>
      <c r="G51" s="12"/>
      <c r="H51" s="23" t="s">
        <v>26</v>
      </c>
      <c r="I51" s="70">
        <v>5000</v>
      </c>
      <c r="J51" s="23">
        <v>659.4</v>
      </c>
      <c r="K51" s="12" t="s">
        <v>202</v>
      </c>
      <c r="L51" s="12" t="s">
        <v>203</v>
      </c>
      <c r="M51" s="23" t="s">
        <v>27</v>
      </c>
      <c r="N51" s="9">
        <v>12</v>
      </c>
      <c r="O51" s="12"/>
      <c r="P51" s="12" t="s">
        <v>134</v>
      </c>
      <c r="Q51" s="12"/>
      <c r="R51" s="9" t="s">
        <v>204</v>
      </c>
    </row>
    <row r="52" spans="1:19" x14ac:dyDescent="0.3">
      <c r="A52" s="9" t="s">
        <v>205</v>
      </c>
      <c r="B52" s="10" t="s">
        <v>25</v>
      </c>
      <c r="C52" s="12" t="s">
        <v>206</v>
      </c>
      <c r="D52" s="12" t="s">
        <v>53</v>
      </c>
      <c r="E52" s="12"/>
      <c r="F52" s="9">
        <v>5.4420000000000003E-2</v>
      </c>
      <c r="G52" s="12"/>
      <c r="H52" s="23" t="s">
        <v>26</v>
      </c>
      <c r="I52" s="70">
        <v>3000</v>
      </c>
      <c r="J52" s="23">
        <v>163.26</v>
      </c>
      <c r="K52" s="12" t="s">
        <v>207</v>
      </c>
      <c r="L52" s="12" t="s">
        <v>208</v>
      </c>
      <c r="M52" s="23" t="s">
        <v>27</v>
      </c>
      <c r="N52" s="9">
        <v>12</v>
      </c>
      <c r="O52" s="12"/>
      <c r="P52" s="12" t="s">
        <v>209</v>
      </c>
      <c r="Q52" s="12"/>
      <c r="R52" s="9" t="s">
        <v>210</v>
      </c>
    </row>
    <row r="53" spans="1:19" s="54" customFormat="1" x14ac:dyDescent="0.3">
      <c r="A53" s="9" t="s">
        <v>211</v>
      </c>
      <c r="B53" s="9" t="s">
        <v>25</v>
      </c>
      <c r="C53" s="12" t="s">
        <v>212</v>
      </c>
      <c r="D53" s="12" t="s">
        <v>53</v>
      </c>
      <c r="E53" s="12"/>
      <c r="F53" s="9">
        <v>0.13081999999999999</v>
      </c>
      <c r="G53" s="12"/>
      <c r="H53" s="23" t="s">
        <v>26</v>
      </c>
      <c r="I53" s="23">
        <v>500</v>
      </c>
      <c r="J53" s="23">
        <v>65.41</v>
      </c>
      <c r="K53" s="12" t="s">
        <v>202</v>
      </c>
      <c r="L53" s="12" t="s">
        <v>213</v>
      </c>
      <c r="M53" s="23" t="s">
        <v>27</v>
      </c>
      <c r="N53" s="9">
        <v>12</v>
      </c>
      <c r="O53" s="12"/>
      <c r="P53" s="12"/>
      <c r="Q53" s="12"/>
      <c r="R53" s="9" t="s">
        <v>214</v>
      </c>
      <c r="S53" s="2"/>
    </row>
    <row r="54" spans="1:19" x14ac:dyDescent="0.3">
      <c r="A54" s="79" t="s">
        <v>215</v>
      </c>
      <c r="B54" s="10" t="s">
        <v>25</v>
      </c>
      <c r="C54" s="12" t="s">
        <v>216</v>
      </c>
      <c r="D54" s="12" t="s">
        <v>53</v>
      </c>
      <c r="E54" s="12"/>
      <c r="F54" s="9">
        <v>0.11599</v>
      </c>
      <c r="G54" s="12"/>
      <c r="H54" s="23" t="s">
        <v>26</v>
      </c>
      <c r="I54" s="70">
        <v>2000</v>
      </c>
      <c r="J54" s="23">
        <v>231.98</v>
      </c>
      <c r="K54" s="12" t="s">
        <v>120</v>
      </c>
      <c r="L54" s="12" t="s">
        <v>217</v>
      </c>
      <c r="M54" s="23" t="s">
        <v>27</v>
      </c>
      <c r="N54" s="9">
        <v>9</v>
      </c>
      <c r="O54" s="12"/>
      <c r="P54" s="12" t="s">
        <v>218</v>
      </c>
      <c r="Q54" s="12"/>
      <c r="R54" s="9" t="s">
        <v>219</v>
      </c>
    </row>
    <row r="55" spans="1:19" x14ac:dyDescent="0.3">
      <c r="A55" s="9" t="s">
        <v>220</v>
      </c>
      <c r="B55" s="10" t="s">
        <v>25</v>
      </c>
      <c r="C55" s="12" t="s">
        <v>221</v>
      </c>
      <c r="D55" s="12" t="s">
        <v>53</v>
      </c>
      <c r="E55" s="12"/>
      <c r="F55" s="9">
        <v>0.24</v>
      </c>
      <c r="G55" s="12"/>
      <c r="H55" s="23" t="s">
        <v>26</v>
      </c>
      <c r="I55" s="23">
        <v>500</v>
      </c>
      <c r="J55" s="23">
        <v>120</v>
      </c>
      <c r="K55" s="12" t="s">
        <v>47</v>
      </c>
      <c r="L55" s="12" t="s">
        <v>222</v>
      </c>
      <c r="M55" s="23" t="s">
        <v>223</v>
      </c>
      <c r="N55" s="9">
        <v>18</v>
      </c>
      <c r="O55" s="12"/>
      <c r="P55" s="12" t="s">
        <v>224</v>
      </c>
      <c r="Q55" s="12"/>
      <c r="R55" s="9" t="s">
        <v>225</v>
      </c>
    </row>
    <row r="56" spans="1:19" x14ac:dyDescent="0.3">
      <c r="A56" s="17" t="s">
        <v>226</v>
      </c>
      <c r="B56" s="17" t="s">
        <v>25</v>
      </c>
      <c r="C56" s="18" t="s">
        <v>227</v>
      </c>
      <c r="D56" s="18" t="s">
        <v>161</v>
      </c>
      <c r="E56" s="18"/>
      <c r="F56" s="17"/>
      <c r="G56" s="18"/>
      <c r="H56" s="24" t="s">
        <v>26</v>
      </c>
      <c r="I56" s="24"/>
      <c r="J56" s="24"/>
      <c r="K56" s="18"/>
      <c r="L56" s="18" t="s">
        <v>228</v>
      </c>
      <c r="M56" s="24"/>
      <c r="N56" s="17"/>
      <c r="O56" s="18"/>
      <c r="P56" s="18"/>
      <c r="Q56" s="18"/>
      <c r="R56" s="17" t="s">
        <v>229</v>
      </c>
    </row>
    <row r="57" spans="1:19" x14ac:dyDescent="0.3">
      <c r="A57" s="9" t="s">
        <v>230</v>
      </c>
      <c r="B57" s="10" t="s">
        <v>25</v>
      </c>
      <c r="C57" s="12" t="s">
        <v>231</v>
      </c>
      <c r="D57" s="12" t="s">
        <v>53</v>
      </c>
      <c r="E57" s="12"/>
      <c r="F57" s="9">
        <v>0.14982999999999999</v>
      </c>
      <c r="G57" s="12"/>
      <c r="H57" s="23" t="s">
        <v>26</v>
      </c>
      <c r="I57" s="23">
        <v>1000</v>
      </c>
      <c r="J57" s="23">
        <v>149.83000000000001</v>
      </c>
      <c r="K57" s="12" t="s">
        <v>232</v>
      </c>
      <c r="L57" s="12" t="s">
        <v>233</v>
      </c>
      <c r="M57" s="23" t="s">
        <v>27</v>
      </c>
      <c r="N57" s="9">
        <v>11</v>
      </c>
      <c r="O57" s="12"/>
      <c r="P57" s="12" t="s">
        <v>153</v>
      </c>
      <c r="Q57" s="12"/>
      <c r="R57" s="9" t="s">
        <v>234</v>
      </c>
    </row>
    <row r="58" spans="1:19" x14ac:dyDescent="0.3">
      <c r="A58" s="9" t="s">
        <v>235</v>
      </c>
      <c r="B58" s="10" t="s">
        <v>25</v>
      </c>
      <c r="C58" s="12" t="s">
        <v>236</v>
      </c>
      <c r="D58" s="12" t="s">
        <v>53</v>
      </c>
      <c r="E58" s="12"/>
      <c r="F58" s="9">
        <v>0.37903999999999999</v>
      </c>
      <c r="G58" s="12"/>
      <c r="H58" s="23" t="s">
        <v>26</v>
      </c>
      <c r="I58" s="23">
        <v>500</v>
      </c>
      <c r="J58" s="23">
        <v>189.52</v>
      </c>
      <c r="K58" s="12" t="s">
        <v>120</v>
      </c>
      <c r="L58" s="12" t="s">
        <v>237</v>
      </c>
      <c r="M58" s="23" t="s">
        <v>27</v>
      </c>
      <c r="N58" s="9">
        <v>16</v>
      </c>
      <c r="O58" s="12"/>
      <c r="P58" s="12" t="s">
        <v>218</v>
      </c>
      <c r="Q58" s="12"/>
      <c r="R58" s="9" t="s">
        <v>238</v>
      </c>
    </row>
    <row r="59" spans="1:19" s="54" customFormat="1" x14ac:dyDescent="0.3">
      <c r="A59" s="9" t="s">
        <v>873</v>
      </c>
      <c r="B59" s="9" t="s">
        <v>25</v>
      </c>
      <c r="C59" s="12" t="s">
        <v>239</v>
      </c>
      <c r="D59" s="12" t="s">
        <v>53</v>
      </c>
      <c r="E59" s="12"/>
      <c r="F59" s="9">
        <v>0.13963</v>
      </c>
      <c r="G59" s="12"/>
      <c r="H59" s="23" t="s">
        <v>26</v>
      </c>
      <c r="I59" s="23">
        <v>1000</v>
      </c>
      <c r="J59" s="23">
        <v>139.63</v>
      </c>
      <c r="K59" s="12" t="s">
        <v>47</v>
      </c>
      <c r="L59" s="12" t="s">
        <v>240</v>
      </c>
      <c r="M59" s="23" t="s">
        <v>27</v>
      </c>
      <c r="N59" s="9">
        <v>18</v>
      </c>
      <c r="O59" s="12"/>
      <c r="P59" s="12" t="s">
        <v>224</v>
      </c>
      <c r="Q59" s="12"/>
      <c r="R59" s="9" t="s">
        <v>241</v>
      </c>
      <c r="S59" s="2"/>
    </row>
    <row r="60" spans="1:19" s="57" customFormat="1" ht="13.8" customHeight="1" x14ac:dyDescent="0.3">
      <c r="A60" s="20" t="s">
        <v>242</v>
      </c>
      <c r="B60" s="20" t="s">
        <v>111</v>
      </c>
      <c r="C60" s="21" t="s">
        <v>903</v>
      </c>
      <c r="D60" s="21" t="s">
        <v>53</v>
      </c>
      <c r="E60" s="21"/>
      <c r="F60" s="20">
        <v>4.0960000000000003E-2</v>
      </c>
      <c r="G60" s="21"/>
      <c r="H60" s="32" t="s">
        <v>26</v>
      </c>
      <c r="I60" s="72">
        <v>3000</v>
      </c>
      <c r="J60" s="32">
        <v>122.88</v>
      </c>
      <c r="K60" s="21" t="s">
        <v>905</v>
      </c>
      <c r="L60" s="21" t="s">
        <v>904</v>
      </c>
      <c r="M60" s="32" t="s">
        <v>27</v>
      </c>
      <c r="N60" s="20">
        <v>4</v>
      </c>
      <c r="O60" s="21"/>
      <c r="P60" s="21" t="s">
        <v>58</v>
      </c>
      <c r="Q60" s="21"/>
      <c r="R60" s="20" t="s">
        <v>243</v>
      </c>
      <c r="S60" s="2"/>
    </row>
    <row r="61" spans="1:19" x14ac:dyDescent="0.3">
      <c r="A61" s="9" t="s">
        <v>244</v>
      </c>
      <c r="B61" s="10" t="s">
        <v>25</v>
      </c>
      <c r="C61" s="12" t="s">
        <v>245</v>
      </c>
      <c r="D61" s="12" t="s">
        <v>53</v>
      </c>
      <c r="E61" s="12"/>
      <c r="F61" s="9">
        <v>2.3630000000000002E-2</v>
      </c>
      <c r="G61" s="12"/>
      <c r="H61" s="23" t="s">
        <v>26</v>
      </c>
      <c r="I61" s="23">
        <v>3000</v>
      </c>
      <c r="J61" s="23">
        <v>70.89</v>
      </c>
      <c r="K61" s="12" t="s">
        <v>202</v>
      </c>
      <c r="L61" s="12" t="s">
        <v>246</v>
      </c>
      <c r="M61" s="23" t="s">
        <v>27</v>
      </c>
      <c r="N61" s="9">
        <v>12</v>
      </c>
      <c r="O61" s="12"/>
      <c r="P61" s="12" t="s">
        <v>247</v>
      </c>
      <c r="Q61" s="12"/>
      <c r="R61" s="9" t="s">
        <v>248</v>
      </c>
    </row>
    <row r="62" spans="1:19" x14ac:dyDescent="0.3">
      <c r="A62" s="79" t="s">
        <v>249</v>
      </c>
      <c r="B62" s="10" t="s">
        <v>25</v>
      </c>
      <c r="C62" s="12" t="s">
        <v>250</v>
      </c>
      <c r="D62" s="12" t="s">
        <v>53</v>
      </c>
      <c r="E62" s="11"/>
      <c r="F62" s="10">
        <v>0.33994000000000002</v>
      </c>
      <c r="G62" s="11"/>
      <c r="H62" s="23" t="s">
        <v>26</v>
      </c>
      <c r="I62" s="25">
        <v>2000</v>
      </c>
      <c r="J62" s="11">
        <v>679.88</v>
      </c>
      <c r="K62" s="26" t="s">
        <v>166</v>
      </c>
      <c r="L62" s="12" t="s">
        <v>251</v>
      </c>
      <c r="M62" s="23" t="s">
        <v>27</v>
      </c>
      <c r="N62" s="10">
        <v>16</v>
      </c>
      <c r="O62" s="11"/>
      <c r="P62" s="11"/>
      <c r="Q62" s="11"/>
      <c r="R62" s="9" t="s">
        <v>252</v>
      </c>
    </row>
    <row r="63" spans="1:19" s="91" customFormat="1" x14ac:dyDescent="0.3">
      <c r="A63" s="87" t="s">
        <v>253</v>
      </c>
      <c r="B63" s="88" t="s">
        <v>25</v>
      </c>
      <c r="C63" s="92" t="s">
        <v>254</v>
      </c>
      <c r="D63" s="92" t="s">
        <v>53</v>
      </c>
      <c r="E63" s="89"/>
      <c r="F63" s="88">
        <v>0.14849999999999999</v>
      </c>
      <c r="G63" s="89"/>
      <c r="H63" s="93" t="s">
        <v>26</v>
      </c>
      <c r="I63" s="90">
        <v>1000</v>
      </c>
      <c r="J63" s="89">
        <v>148.5</v>
      </c>
      <c r="K63" s="94" t="s">
        <v>267</v>
      </c>
      <c r="L63" s="92" t="s">
        <v>891</v>
      </c>
      <c r="M63" s="93" t="s">
        <v>27</v>
      </c>
      <c r="N63" s="88">
        <v>28</v>
      </c>
      <c r="O63" s="89"/>
      <c r="P63" s="89"/>
      <c r="Q63" s="89"/>
      <c r="R63" s="87" t="s">
        <v>255</v>
      </c>
      <c r="S63" s="2"/>
    </row>
    <row r="64" spans="1:19" x14ac:dyDescent="0.3">
      <c r="A64" s="9" t="s">
        <v>256</v>
      </c>
      <c r="B64" s="10" t="s">
        <v>25</v>
      </c>
      <c r="C64" s="12" t="s">
        <v>257</v>
      </c>
      <c r="D64" s="12" t="s">
        <v>161</v>
      </c>
      <c r="E64" s="11"/>
      <c r="F64" s="10">
        <v>0.21437999999999999</v>
      </c>
      <c r="G64" s="11"/>
      <c r="H64" s="23" t="s">
        <v>26</v>
      </c>
      <c r="I64" s="11">
        <v>500</v>
      </c>
      <c r="J64" s="11">
        <v>107.19</v>
      </c>
      <c r="K64" s="26" t="s">
        <v>258</v>
      </c>
      <c r="L64" s="12" t="s">
        <v>259</v>
      </c>
      <c r="M64" s="23" t="s">
        <v>27</v>
      </c>
      <c r="N64" s="10">
        <v>4</v>
      </c>
      <c r="O64" s="11"/>
      <c r="P64" s="11" t="s">
        <v>178</v>
      </c>
      <c r="Q64" s="11"/>
      <c r="R64" s="9" t="s">
        <v>260</v>
      </c>
    </row>
    <row r="65" spans="1:19" x14ac:dyDescent="0.3">
      <c r="A65" s="9" t="s">
        <v>261</v>
      </c>
      <c r="B65" s="10" t="s">
        <v>25</v>
      </c>
      <c r="C65" s="12" t="s">
        <v>262</v>
      </c>
      <c r="D65" s="12" t="s">
        <v>161</v>
      </c>
      <c r="E65" s="11"/>
      <c r="F65" s="10">
        <v>0.19753999999999999</v>
      </c>
      <c r="G65" s="11"/>
      <c r="H65" s="23" t="s">
        <v>26</v>
      </c>
      <c r="I65" s="11">
        <v>500</v>
      </c>
      <c r="J65" s="11">
        <v>98.77</v>
      </c>
      <c r="K65" s="26" t="s">
        <v>258</v>
      </c>
      <c r="L65" s="12" t="s">
        <v>263</v>
      </c>
      <c r="M65" s="23" t="s">
        <v>27</v>
      </c>
      <c r="N65" s="10">
        <v>4</v>
      </c>
      <c r="O65" s="11"/>
      <c r="P65" s="11" t="s">
        <v>178</v>
      </c>
      <c r="Q65" s="11"/>
      <c r="R65" s="9" t="s">
        <v>264</v>
      </c>
    </row>
    <row r="66" spans="1:19" x14ac:dyDescent="0.3">
      <c r="A66" s="9" t="s">
        <v>265</v>
      </c>
      <c r="B66" s="10" t="s">
        <v>25</v>
      </c>
      <c r="C66" s="12" t="s">
        <v>266</v>
      </c>
      <c r="D66" s="12" t="s">
        <v>53</v>
      </c>
      <c r="E66" s="11"/>
      <c r="F66" s="10">
        <v>0.17743999999999999</v>
      </c>
      <c r="G66" s="11"/>
      <c r="H66" s="23" t="s">
        <v>26</v>
      </c>
      <c r="I66" s="11">
        <v>500</v>
      </c>
      <c r="J66" s="11">
        <v>88.72</v>
      </c>
      <c r="K66" s="26" t="s">
        <v>267</v>
      </c>
      <c r="L66" s="12" t="s">
        <v>268</v>
      </c>
      <c r="M66" s="23" t="s">
        <v>27</v>
      </c>
      <c r="N66" s="10">
        <v>21</v>
      </c>
      <c r="O66" s="11"/>
      <c r="P66" s="11" t="s">
        <v>224</v>
      </c>
      <c r="Q66" s="11"/>
      <c r="R66" s="9" t="s">
        <v>269</v>
      </c>
    </row>
    <row r="67" spans="1:19" x14ac:dyDescent="0.3">
      <c r="A67" s="9" t="s">
        <v>270</v>
      </c>
      <c r="B67" s="10" t="s">
        <v>25</v>
      </c>
      <c r="C67" s="12" t="s">
        <v>271</v>
      </c>
      <c r="D67" s="12" t="s">
        <v>53</v>
      </c>
      <c r="E67" s="11"/>
      <c r="F67" s="27">
        <v>1.336E-2</v>
      </c>
      <c r="G67" s="11"/>
      <c r="H67" s="23" t="s">
        <v>26</v>
      </c>
      <c r="I67" s="11">
        <v>5000</v>
      </c>
      <c r="J67" s="11">
        <v>66.8</v>
      </c>
      <c r="K67" s="26" t="s">
        <v>47</v>
      </c>
      <c r="L67" s="12" t="s">
        <v>272</v>
      </c>
      <c r="M67" s="23" t="s">
        <v>27</v>
      </c>
      <c r="N67" s="10">
        <v>15</v>
      </c>
      <c r="O67" s="11"/>
      <c r="P67" s="11" t="s">
        <v>49</v>
      </c>
      <c r="Q67" s="11"/>
      <c r="R67" s="9" t="s">
        <v>273</v>
      </c>
    </row>
    <row r="68" spans="1:19" x14ac:dyDescent="0.3">
      <c r="A68" s="9" t="s">
        <v>274</v>
      </c>
      <c r="B68" s="10" t="s">
        <v>25</v>
      </c>
      <c r="C68" s="12" t="s">
        <v>275</v>
      </c>
      <c r="D68" s="12" t="s">
        <v>276</v>
      </c>
      <c r="E68" s="11"/>
      <c r="F68" s="10">
        <v>11.177110000000001</v>
      </c>
      <c r="G68" s="11"/>
      <c r="H68" s="23" t="s">
        <v>26</v>
      </c>
      <c r="I68" s="11">
        <v>90</v>
      </c>
      <c r="J68" s="28">
        <v>1005.94</v>
      </c>
      <c r="K68" s="26" t="s">
        <v>277</v>
      </c>
      <c r="L68" s="12" t="s">
        <v>278</v>
      </c>
      <c r="M68" s="23" t="s">
        <v>27</v>
      </c>
      <c r="N68" s="10">
        <v>16</v>
      </c>
      <c r="O68" s="11"/>
      <c r="P68" s="11"/>
      <c r="Q68" s="11"/>
      <c r="R68" s="9" t="s">
        <v>279</v>
      </c>
    </row>
    <row r="69" spans="1:19" x14ac:dyDescent="0.3">
      <c r="A69" s="9" t="s">
        <v>280</v>
      </c>
      <c r="B69" s="10" t="s">
        <v>25</v>
      </c>
      <c r="C69" s="12" t="s">
        <v>281</v>
      </c>
      <c r="D69" s="12" t="s">
        <v>53</v>
      </c>
      <c r="E69" s="11"/>
      <c r="F69" s="10">
        <v>7.0879999999999999E-2</v>
      </c>
      <c r="G69" s="11"/>
      <c r="H69" s="23" t="s">
        <v>26</v>
      </c>
      <c r="I69" s="25">
        <v>3000</v>
      </c>
      <c r="J69" s="11">
        <v>212.64</v>
      </c>
      <c r="K69" s="26" t="s">
        <v>282</v>
      </c>
      <c r="L69" s="12" t="s">
        <v>283</v>
      </c>
      <c r="M69" s="23" t="s">
        <v>27</v>
      </c>
      <c r="N69" s="10">
        <v>10</v>
      </c>
      <c r="O69" s="11"/>
      <c r="P69" s="11" t="s">
        <v>284</v>
      </c>
      <c r="Q69" s="11"/>
      <c r="R69" s="9" t="s">
        <v>285</v>
      </c>
    </row>
    <row r="70" spans="1:19" x14ac:dyDescent="0.3">
      <c r="A70" s="9" t="s">
        <v>286</v>
      </c>
      <c r="B70" s="10" t="s">
        <v>25</v>
      </c>
      <c r="C70" s="12" t="s">
        <v>287</v>
      </c>
      <c r="D70" s="12" t="s">
        <v>53</v>
      </c>
      <c r="E70" s="11"/>
      <c r="F70" s="10">
        <v>1.1979999999999999E-2</v>
      </c>
      <c r="G70" s="11"/>
      <c r="H70" s="23" t="s">
        <v>26</v>
      </c>
      <c r="I70" s="25">
        <v>5000</v>
      </c>
      <c r="J70" s="11">
        <v>59.9</v>
      </c>
      <c r="K70" s="26" t="s">
        <v>47</v>
      </c>
      <c r="L70" s="12" t="s">
        <v>288</v>
      </c>
      <c r="M70" s="23" t="s">
        <v>27</v>
      </c>
      <c r="N70" s="10">
        <v>15</v>
      </c>
      <c r="O70" s="11"/>
      <c r="P70" s="11" t="s">
        <v>49</v>
      </c>
      <c r="Q70" s="11"/>
      <c r="R70" s="9" t="s">
        <v>289</v>
      </c>
    </row>
    <row r="71" spans="1:19" x14ac:dyDescent="0.3">
      <c r="A71" s="20" t="s">
        <v>290</v>
      </c>
      <c r="B71" s="29" t="s">
        <v>111</v>
      </c>
      <c r="C71" s="21" t="s">
        <v>291</v>
      </c>
      <c r="D71" s="21" t="s">
        <v>53</v>
      </c>
      <c r="E71" s="22"/>
      <c r="F71" s="29">
        <v>7.2239999999999999E-2</v>
      </c>
      <c r="G71" s="22"/>
      <c r="H71" s="32" t="s">
        <v>26</v>
      </c>
      <c r="I71" s="30">
        <v>5000</v>
      </c>
      <c r="J71" s="22">
        <v>361.2</v>
      </c>
      <c r="K71" s="31" t="s">
        <v>75</v>
      </c>
      <c r="L71" s="21" t="s">
        <v>292</v>
      </c>
      <c r="M71" s="32" t="s">
        <v>27</v>
      </c>
      <c r="N71" s="29">
        <v>13</v>
      </c>
      <c r="O71" s="22"/>
      <c r="P71" s="22" t="s">
        <v>49</v>
      </c>
      <c r="Q71" s="22"/>
      <c r="R71" s="20" t="s">
        <v>293</v>
      </c>
    </row>
    <row r="72" spans="1:19" x14ac:dyDescent="0.3">
      <c r="A72" s="9" t="s">
        <v>294</v>
      </c>
      <c r="B72" s="9" t="s">
        <v>25</v>
      </c>
      <c r="C72" s="12" t="s">
        <v>295</v>
      </c>
      <c r="D72" s="12" t="s">
        <v>53</v>
      </c>
      <c r="E72" s="11"/>
      <c r="F72" s="10">
        <v>3.687E-2</v>
      </c>
      <c r="G72" s="11"/>
      <c r="H72" s="23" t="s">
        <v>26</v>
      </c>
      <c r="I72" s="25">
        <v>4000</v>
      </c>
      <c r="J72" s="11">
        <v>147.47999999999999</v>
      </c>
      <c r="K72" s="26" t="s">
        <v>142</v>
      </c>
      <c r="L72" s="12" t="s">
        <v>296</v>
      </c>
      <c r="M72" s="23" t="s">
        <v>27</v>
      </c>
      <c r="N72" s="10">
        <v>17</v>
      </c>
      <c r="O72" s="11"/>
      <c r="P72" s="11" t="s">
        <v>49</v>
      </c>
      <c r="Q72" s="11"/>
      <c r="R72" s="9" t="s">
        <v>297</v>
      </c>
    </row>
    <row r="73" spans="1:19" x14ac:dyDescent="0.3">
      <c r="A73" s="9" t="s">
        <v>298</v>
      </c>
      <c r="B73" s="10" t="s">
        <v>25</v>
      </c>
      <c r="C73" s="12" t="s">
        <v>299</v>
      </c>
      <c r="D73" s="12" t="s">
        <v>53</v>
      </c>
      <c r="E73" s="11"/>
      <c r="F73" s="10">
        <v>0.54256000000000004</v>
      </c>
      <c r="G73" s="11"/>
      <c r="H73" s="23" t="s">
        <v>26</v>
      </c>
      <c r="I73" s="25">
        <v>2500</v>
      </c>
      <c r="J73" s="28">
        <v>1356.4</v>
      </c>
      <c r="K73" s="26" t="s">
        <v>300</v>
      </c>
      <c r="L73" s="12" t="s">
        <v>301</v>
      </c>
      <c r="M73" s="23" t="s">
        <v>27</v>
      </c>
      <c r="N73" s="10">
        <v>15</v>
      </c>
      <c r="O73" s="11"/>
      <c r="P73" s="11" t="s">
        <v>302</v>
      </c>
      <c r="Q73" s="11"/>
      <c r="R73" s="9" t="s">
        <v>303</v>
      </c>
    </row>
    <row r="74" spans="1:19" x14ac:dyDescent="0.3">
      <c r="A74" s="9" t="s">
        <v>304</v>
      </c>
      <c r="B74" s="10" t="s">
        <v>25</v>
      </c>
      <c r="C74" s="12" t="s">
        <v>305</v>
      </c>
      <c r="D74" s="12" t="s">
        <v>53</v>
      </c>
      <c r="E74" s="11"/>
      <c r="F74" s="10">
        <v>0.18826999999999999</v>
      </c>
      <c r="G74" s="11"/>
      <c r="H74" s="23" t="s">
        <v>26</v>
      </c>
      <c r="I74" s="25">
        <v>3000</v>
      </c>
      <c r="J74" s="11">
        <v>564.80999999999995</v>
      </c>
      <c r="K74" s="26" t="s">
        <v>202</v>
      </c>
      <c r="L74" s="12" t="s">
        <v>306</v>
      </c>
      <c r="M74" s="23" t="s">
        <v>27</v>
      </c>
      <c r="N74" s="10">
        <v>12</v>
      </c>
      <c r="O74" s="11"/>
      <c r="P74" s="11" t="s">
        <v>307</v>
      </c>
      <c r="Q74" s="11"/>
      <c r="R74" s="9" t="s">
        <v>308</v>
      </c>
    </row>
    <row r="75" spans="1:19" s="91" customFormat="1" x14ac:dyDescent="0.3">
      <c r="A75" s="87" t="s">
        <v>309</v>
      </c>
      <c r="B75" s="88" t="s">
        <v>25</v>
      </c>
      <c r="C75" s="92" t="s">
        <v>310</v>
      </c>
      <c r="D75" s="92" t="s">
        <v>161</v>
      </c>
      <c r="E75" s="89"/>
      <c r="F75" s="88">
        <v>0.37842999999999999</v>
      </c>
      <c r="G75" s="89"/>
      <c r="H75" s="93" t="s">
        <v>26</v>
      </c>
      <c r="I75" s="90">
        <v>1000</v>
      </c>
      <c r="J75" s="89">
        <v>378.43</v>
      </c>
      <c r="K75" s="94" t="s">
        <v>132</v>
      </c>
      <c r="L75" s="92" t="s">
        <v>892</v>
      </c>
      <c r="M75" s="93" t="s">
        <v>27</v>
      </c>
      <c r="N75" s="88">
        <v>15</v>
      </c>
      <c r="O75" s="89"/>
      <c r="P75" s="89" t="s">
        <v>909</v>
      </c>
      <c r="Q75" s="89"/>
      <c r="R75" s="87" t="s">
        <v>311</v>
      </c>
      <c r="S75" s="2"/>
    </row>
    <row r="76" spans="1:19" x14ac:dyDescent="0.3">
      <c r="A76" s="20" t="s">
        <v>312</v>
      </c>
      <c r="B76" s="29" t="s">
        <v>111</v>
      </c>
      <c r="C76" s="21" t="s">
        <v>313</v>
      </c>
      <c r="D76" s="21" t="s">
        <v>53</v>
      </c>
      <c r="E76" s="22"/>
      <c r="F76" s="29">
        <v>0.15473000000000001</v>
      </c>
      <c r="G76" s="22"/>
      <c r="H76" s="32" t="s">
        <v>26</v>
      </c>
      <c r="I76" s="22">
        <v>2000</v>
      </c>
      <c r="J76" s="22">
        <v>309.45999999999998</v>
      </c>
      <c r="K76" s="31" t="s">
        <v>120</v>
      </c>
      <c r="L76" s="21" t="s">
        <v>314</v>
      </c>
      <c r="M76" s="32" t="s">
        <v>27</v>
      </c>
      <c r="N76" s="29">
        <v>20</v>
      </c>
      <c r="O76" s="22"/>
      <c r="P76" s="22" t="s">
        <v>218</v>
      </c>
      <c r="Q76" s="22"/>
      <c r="R76" s="20" t="s">
        <v>315</v>
      </c>
    </row>
    <row r="77" spans="1:19" x14ac:dyDescent="0.3">
      <c r="A77" s="17" t="s">
        <v>316</v>
      </c>
      <c r="B77" s="33" t="s">
        <v>25</v>
      </c>
      <c r="C77" s="18" t="s">
        <v>317</v>
      </c>
      <c r="D77" s="18" t="s">
        <v>161</v>
      </c>
      <c r="E77" s="19"/>
      <c r="F77" s="33"/>
      <c r="G77" s="19"/>
      <c r="H77" s="24" t="s">
        <v>26</v>
      </c>
      <c r="I77" s="19"/>
      <c r="J77" s="19"/>
      <c r="K77" s="34"/>
      <c r="L77" s="18" t="s">
        <v>318</v>
      </c>
      <c r="M77" s="24"/>
      <c r="N77" s="33"/>
      <c r="O77" s="19"/>
      <c r="P77" s="19"/>
      <c r="Q77" s="19"/>
      <c r="R77" s="17" t="s">
        <v>319</v>
      </c>
    </row>
    <row r="78" spans="1:19" x14ac:dyDescent="0.3">
      <c r="A78" s="17" t="s">
        <v>320</v>
      </c>
      <c r="B78" s="33" t="s">
        <v>25</v>
      </c>
      <c r="C78" s="18" t="s">
        <v>321</v>
      </c>
      <c r="D78" s="18" t="s">
        <v>53</v>
      </c>
      <c r="E78" s="19"/>
      <c r="F78" s="33"/>
      <c r="G78" s="19"/>
      <c r="H78" s="24" t="s">
        <v>26</v>
      </c>
      <c r="I78" s="19"/>
      <c r="J78" s="19"/>
      <c r="K78" s="34"/>
      <c r="L78" s="18" t="s">
        <v>322</v>
      </c>
      <c r="M78" s="24"/>
      <c r="N78" s="33"/>
      <c r="O78" s="19"/>
      <c r="P78" s="19"/>
      <c r="Q78" s="19"/>
      <c r="R78" s="17">
        <v>460015</v>
      </c>
    </row>
    <row r="79" spans="1:19" x14ac:dyDescent="0.3">
      <c r="A79" s="41" t="s">
        <v>323</v>
      </c>
      <c r="B79" s="36" t="s">
        <v>25</v>
      </c>
      <c r="C79" s="35" t="s">
        <v>324</v>
      </c>
      <c r="D79" s="35" t="s">
        <v>325</v>
      </c>
      <c r="E79" s="37"/>
      <c r="F79" s="36"/>
      <c r="G79" s="37"/>
      <c r="H79" s="39" t="s">
        <v>26</v>
      </c>
      <c r="I79" s="37"/>
      <c r="J79" s="37"/>
      <c r="K79" s="38"/>
      <c r="L79" s="35" t="s">
        <v>326</v>
      </c>
      <c r="M79" s="39" t="s">
        <v>27</v>
      </c>
      <c r="N79" s="36"/>
      <c r="O79" s="37"/>
      <c r="P79" s="37"/>
      <c r="Q79" s="37"/>
      <c r="R79" s="41" t="s">
        <v>327</v>
      </c>
    </row>
    <row r="80" spans="1:19" s="57" customFormat="1" x14ac:dyDescent="0.3">
      <c r="A80" s="20" t="s">
        <v>328</v>
      </c>
      <c r="B80" s="29" t="s">
        <v>111</v>
      </c>
      <c r="C80" s="21" t="s">
        <v>329</v>
      </c>
      <c r="D80" s="21" t="s">
        <v>53</v>
      </c>
      <c r="E80" s="22"/>
      <c r="F80" s="29">
        <v>6.5740000000000007E-2</v>
      </c>
      <c r="G80" s="22"/>
      <c r="H80" s="32" t="s">
        <v>26</v>
      </c>
      <c r="I80" s="30">
        <v>4000</v>
      </c>
      <c r="J80" s="22">
        <v>262.95999999999998</v>
      </c>
      <c r="K80" s="31" t="s">
        <v>57</v>
      </c>
      <c r="L80" s="21" t="s">
        <v>330</v>
      </c>
      <c r="M80" s="32" t="s">
        <v>27</v>
      </c>
      <c r="N80" s="29">
        <v>20</v>
      </c>
      <c r="O80" s="22"/>
      <c r="P80" s="22"/>
      <c r="Q80" s="22"/>
      <c r="R80" s="20" t="s">
        <v>331</v>
      </c>
      <c r="S80" s="2"/>
    </row>
    <row r="81" spans="1:19" x14ac:dyDescent="0.3">
      <c r="A81" s="9" t="s">
        <v>332</v>
      </c>
      <c r="B81" s="10" t="s">
        <v>25</v>
      </c>
      <c r="C81" s="12" t="s">
        <v>333</v>
      </c>
      <c r="D81" s="12" t="s">
        <v>53</v>
      </c>
      <c r="E81" s="11"/>
      <c r="F81" s="10">
        <v>2.0877599999999998</v>
      </c>
      <c r="G81" s="11"/>
      <c r="H81" s="23" t="s">
        <v>26</v>
      </c>
      <c r="I81" s="11">
        <v>206</v>
      </c>
      <c r="J81" s="11">
        <v>98.67</v>
      </c>
      <c r="K81" s="26" t="s">
        <v>334</v>
      </c>
      <c r="L81" s="12" t="s">
        <v>335</v>
      </c>
      <c r="M81" s="23" t="s">
        <v>27</v>
      </c>
      <c r="N81" s="10">
        <v>4</v>
      </c>
      <c r="O81" s="11"/>
      <c r="P81" s="11" t="s">
        <v>326</v>
      </c>
      <c r="Q81" s="11"/>
      <c r="R81" s="9" t="s">
        <v>336</v>
      </c>
    </row>
    <row r="82" spans="1:19" x14ac:dyDescent="0.3">
      <c r="A82" s="9" t="s">
        <v>337</v>
      </c>
      <c r="B82" s="10" t="s">
        <v>25</v>
      </c>
      <c r="C82" s="12" t="s">
        <v>338</v>
      </c>
      <c r="D82" s="12"/>
      <c r="E82" s="11"/>
      <c r="F82" s="10">
        <v>1.2999999999999999E-2</v>
      </c>
      <c r="G82" s="11"/>
      <c r="H82" s="23" t="s">
        <v>26</v>
      </c>
      <c r="I82" s="11">
        <v>2000</v>
      </c>
      <c r="J82" s="11">
        <v>26</v>
      </c>
      <c r="K82" s="26" t="s">
        <v>339</v>
      </c>
      <c r="L82" s="12" t="s">
        <v>340</v>
      </c>
      <c r="M82" s="23" t="s">
        <v>223</v>
      </c>
      <c r="N82" s="10">
        <v>4</v>
      </c>
      <c r="O82" s="11"/>
      <c r="P82" s="11" t="s">
        <v>49</v>
      </c>
      <c r="Q82" s="11"/>
      <c r="R82" s="9">
        <v>610034</v>
      </c>
    </row>
    <row r="83" spans="1:19" x14ac:dyDescent="0.3">
      <c r="A83" s="20" t="s">
        <v>341</v>
      </c>
      <c r="B83" s="29" t="s">
        <v>111</v>
      </c>
      <c r="C83" s="21" t="s">
        <v>342</v>
      </c>
      <c r="D83" s="21" t="s">
        <v>53</v>
      </c>
      <c r="E83" s="22"/>
      <c r="F83" s="29">
        <v>6.7760000000000001E-2</v>
      </c>
      <c r="G83" s="22"/>
      <c r="H83" s="32" t="s">
        <v>26</v>
      </c>
      <c r="I83" s="30">
        <v>2000</v>
      </c>
      <c r="J83" s="22">
        <v>135.52000000000001</v>
      </c>
      <c r="K83" s="31" t="s">
        <v>343</v>
      </c>
      <c r="L83" s="21" t="s">
        <v>344</v>
      </c>
      <c r="M83" s="32" t="s">
        <v>27</v>
      </c>
      <c r="N83" s="29">
        <v>8</v>
      </c>
      <c r="O83" s="22"/>
      <c r="P83" s="22" t="s">
        <v>345</v>
      </c>
      <c r="Q83" s="22"/>
      <c r="R83" s="20" t="s">
        <v>346</v>
      </c>
    </row>
    <row r="84" spans="1:19" x14ac:dyDescent="0.3">
      <c r="A84" s="9" t="s">
        <v>347</v>
      </c>
      <c r="B84" s="10" t="s">
        <v>25</v>
      </c>
      <c r="C84" s="12" t="s">
        <v>348</v>
      </c>
      <c r="D84" s="12" t="s">
        <v>161</v>
      </c>
      <c r="E84" s="11"/>
      <c r="F84" s="10">
        <v>2.7669999999999999</v>
      </c>
      <c r="G84" s="11"/>
      <c r="H84" s="11" t="s">
        <v>26</v>
      </c>
      <c r="I84" s="11"/>
      <c r="J84" s="11"/>
      <c r="K84" s="11" t="s">
        <v>349</v>
      </c>
      <c r="L84" s="11">
        <v>1829950</v>
      </c>
      <c r="M84" s="11" t="s">
        <v>27</v>
      </c>
      <c r="N84" s="10">
        <v>4</v>
      </c>
      <c r="O84" s="11"/>
      <c r="P84" s="40" t="s">
        <v>178</v>
      </c>
      <c r="Q84" s="11"/>
      <c r="R84" s="9" t="s">
        <v>350</v>
      </c>
    </row>
    <row r="85" spans="1:19" x14ac:dyDescent="0.3">
      <c r="A85" s="9" t="s">
        <v>351</v>
      </c>
      <c r="B85" s="10" t="s">
        <v>25</v>
      </c>
      <c r="C85" s="12" t="s">
        <v>352</v>
      </c>
      <c r="D85" s="12" t="s">
        <v>161</v>
      </c>
      <c r="E85" s="11"/>
      <c r="F85" s="10">
        <v>1.32</v>
      </c>
      <c r="G85" s="11"/>
      <c r="H85" s="23" t="s">
        <v>26</v>
      </c>
      <c r="I85" s="11"/>
      <c r="J85" s="11"/>
      <c r="K85" s="26" t="s">
        <v>349</v>
      </c>
      <c r="L85" s="12">
        <v>1803293</v>
      </c>
      <c r="M85" s="23" t="s">
        <v>27</v>
      </c>
      <c r="N85" s="10">
        <v>5</v>
      </c>
      <c r="O85" s="11"/>
      <c r="P85" s="11" t="s">
        <v>178</v>
      </c>
      <c r="Q85" s="11"/>
      <c r="R85" s="9" t="s">
        <v>353</v>
      </c>
    </row>
    <row r="86" spans="1:19" x14ac:dyDescent="0.3">
      <c r="A86" s="9" t="s">
        <v>354</v>
      </c>
      <c r="B86" s="10" t="s">
        <v>25</v>
      </c>
      <c r="C86" s="12" t="s">
        <v>355</v>
      </c>
      <c r="D86" s="12" t="s">
        <v>161</v>
      </c>
      <c r="E86" s="11"/>
      <c r="F86" s="10">
        <v>3.1027300000000002</v>
      </c>
      <c r="G86" s="11"/>
      <c r="H86" s="23" t="s">
        <v>26</v>
      </c>
      <c r="I86" s="11">
        <v>11</v>
      </c>
      <c r="J86" s="11">
        <v>34.130000000000003</v>
      </c>
      <c r="K86" s="26" t="s">
        <v>356</v>
      </c>
      <c r="L86" s="12" t="s">
        <v>357</v>
      </c>
      <c r="M86" s="23" t="s">
        <v>27</v>
      </c>
      <c r="N86" s="10">
        <v>21</v>
      </c>
      <c r="O86" s="11"/>
      <c r="P86" s="11" t="s">
        <v>178</v>
      </c>
      <c r="Q86" s="11"/>
      <c r="R86" s="9" t="s">
        <v>358</v>
      </c>
    </row>
    <row r="87" spans="1:19" x14ac:dyDescent="0.3">
      <c r="A87" s="9" t="s">
        <v>359</v>
      </c>
      <c r="B87" s="10" t="s">
        <v>25</v>
      </c>
      <c r="C87" s="12" t="s">
        <v>360</v>
      </c>
      <c r="D87" s="12" t="s">
        <v>161</v>
      </c>
      <c r="E87" s="11"/>
      <c r="F87" s="10">
        <v>0.76719999999999999</v>
      </c>
      <c r="G87" s="11"/>
      <c r="H87" s="23" t="s">
        <v>26</v>
      </c>
      <c r="I87" s="11"/>
      <c r="J87" s="11"/>
      <c r="K87" s="26" t="s">
        <v>361</v>
      </c>
      <c r="L87" s="12" t="s">
        <v>362</v>
      </c>
      <c r="M87" s="23" t="s">
        <v>27</v>
      </c>
      <c r="N87" s="10">
        <v>6</v>
      </c>
      <c r="O87" s="11"/>
      <c r="P87" s="11" t="s">
        <v>363</v>
      </c>
      <c r="Q87" s="11"/>
      <c r="R87" s="9" t="s">
        <v>364</v>
      </c>
    </row>
    <row r="88" spans="1:19" x14ac:dyDescent="0.3">
      <c r="A88" s="9" t="s">
        <v>365</v>
      </c>
      <c r="B88" s="10" t="s">
        <v>25</v>
      </c>
      <c r="C88" s="12" t="s">
        <v>366</v>
      </c>
      <c r="D88" s="12" t="s">
        <v>161</v>
      </c>
      <c r="E88" s="11"/>
      <c r="F88" s="10">
        <v>2.1299999999999999E-2</v>
      </c>
      <c r="G88" s="11"/>
      <c r="H88" s="23" t="s">
        <v>26</v>
      </c>
      <c r="I88" s="11">
        <v>100</v>
      </c>
      <c r="J88" s="11">
        <v>2.13</v>
      </c>
      <c r="K88" s="26" t="s">
        <v>258</v>
      </c>
      <c r="L88" s="12" t="s">
        <v>367</v>
      </c>
      <c r="M88" s="23" t="s">
        <v>27</v>
      </c>
      <c r="N88" s="10">
        <v>11</v>
      </c>
      <c r="O88" s="11"/>
      <c r="P88" s="11" t="s">
        <v>363</v>
      </c>
      <c r="Q88" s="11"/>
      <c r="R88" s="9" t="s">
        <v>368</v>
      </c>
    </row>
    <row r="89" spans="1:19" s="91" customFormat="1" x14ac:dyDescent="0.3">
      <c r="A89" s="87" t="s">
        <v>369</v>
      </c>
      <c r="B89" s="87" t="s">
        <v>25</v>
      </c>
      <c r="C89" s="92" t="s">
        <v>370</v>
      </c>
      <c r="D89" s="92" t="s">
        <v>161</v>
      </c>
      <c r="E89" s="89"/>
      <c r="F89" s="88">
        <v>0.54095000000000004</v>
      </c>
      <c r="G89" s="89"/>
      <c r="H89" s="93" t="s">
        <v>26</v>
      </c>
      <c r="I89" s="90">
        <v>200</v>
      </c>
      <c r="J89" s="95">
        <v>108.19</v>
      </c>
      <c r="K89" s="94" t="s">
        <v>895</v>
      </c>
      <c r="L89" s="92" t="s">
        <v>894</v>
      </c>
      <c r="M89" s="93" t="s">
        <v>27</v>
      </c>
      <c r="N89" s="88">
        <v>18</v>
      </c>
      <c r="O89" s="89"/>
      <c r="P89" s="89" t="s">
        <v>363</v>
      </c>
      <c r="Q89" s="89"/>
      <c r="R89" s="87" t="s">
        <v>371</v>
      </c>
      <c r="S89" s="2"/>
    </row>
    <row r="90" spans="1:19" x14ac:dyDescent="0.3">
      <c r="A90" s="41" t="s">
        <v>372</v>
      </c>
      <c r="B90" s="41" t="s">
        <v>25</v>
      </c>
      <c r="C90" s="35" t="s">
        <v>373</v>
      </c>
      <c r="D90" s="35" t="s">
        <v>161</v>
      </c>
      <c r="E90" s="37"/>
      <c r="F90" s="36"/>
      <c r="G90" s="37"/>
      <c r="H90" s="39" t="s">
        <v>26</v>
      </c>
      <c r="I90" s="37"/>
      <c r="J90" s="37"/>
      <c r="K90" s="38"/>
      <c r="L90" s="35"/>
      <c r="M90" s="39"/>
      <c r="N90" s="36"/>
      <c r="O90" s="37"/>
      <c r="P90" s="37"/>
      <c r="Q90" s="37"/>
      <c r="R90" s="41" t="s">
        <v>374</v>
      </c>
    </row>
    <row r="91" spans="1:19" x14ac:dyDescent="0.3">
      <c r="A91" s="9" t="s">
        <v>375</v>
      </c>
      <c r="B91" s="10" t="s">
        <v>25</v>
      </c>
      <c r="C91" s="12" t="s">
        <v>376</v>
      </c>
      <c r="D91" s="12" t="s">
        <v>53</v>
      </c>
      <c r="E91" s="11"/>
      <c r="F91" s="10">
        <v>0.1822</v>
      </c>
      <c r="G91" s="11"/>
      <c r="H91" s="23" t="s">
        <v>26</v>
      </c>
      <c r="I91" s="25">
        <v>2500</v>
      </c>
      <c r="J91" s="11">
        <v>455.5</v>
      </c>
      <c r="K91" s="26" t="s">
        <v>114</v>
      </c>
      <c r="L91" s="12" t="s">
        <v>377</v>
      </c>
      <c r="M91" s="23" t="s">
        <v>27</v>
      </c>
      <c r="N91" s="10">
        <v>8</v>
      </c>
      <c r="O91" s="11"/>
      <c r="P91" s="11" t="s">
        <v>378</v>
      </c>
      <c r="Q91" s="11"/>
      <c r="R91" s="9" t="s">
        <v>379</v>
      </c>
    </row>
    <row r="92" spans="1:19" x14ac:dyDescent="0.3">
      <c r="A92" s="13" t="s">
        <v>380</v>
      </c>
      <c r="B92" s="13" t="s">
        <v>25</v>
      </c>
      <c r="C92" s="16" t="s">
        <v>381</v>
      </c>
      <c r="D92" s="16" t="s">
        <v>161</v>
      </c>
      <c r="E92" s="15"/>
      <c r="F92" s="14">
        <v>0</v>
      </c>
      <c r="G92" s="15"/>
      <c r="H92" s="15" t="s">
        <v>26</v>
      </c>
      <c r="I92" s="15"/>
      <c r="J92" s="15"/>
      <c r="K92" s="15" t="s">
        <v>382</v>
      </c>
      <c r="L92" s="16">
        <v>1526410000</v>
      </c>
      <c r="M92" s="15"/>
      <c r="N92" s="14">
        <v>0</v>
      </c>
      <c r="O92" s="15"/>
      <c r="P92" s="15" t="s">
        <v>363</v>
      </c>
      <c r="Q92" s="15"/>
      <c r="R92" s="13" t="s">
        <v>383</v>
      </c>
    </row>
    <row r="93" spans="1:19" x14ac:dyDescent="0.3">
      <c r="A93" s="9" t="s">
        <v>384</v>
      </c>
      <c r="B93" s="10" t="s">
        <v>25</v>
      </c>
      <c r="C93" s="12" t="s">
        <v>385</v>
      </c>
      <c r="D93" s="12" t="s">
        <v>161</v>
      </c>
      <c r="E93" s="11"/>
      <c r="F93" s="10">
        <v>5.617</v>
      </c>
      <c r="G93" s="11"/>
      <c r="H93" s="23" t="s">
        <v>26</v>
      </c>
      <c r="I93" s="11">
        <v>10</v>
      </c>
      <c r="J93" s="11">
        <v>56.17</v>
      </c>
      <c r="K93" s="26" t="s">
        <v>349</v>
      </c>
      <c r="L93" s="12">
        <v>1829976</v>
      </c>
      <c r="M93" s="23" t="s">
        <v>27</v>
      </c>
      <c r="N93" s="10">
        <v>4</v>
      </c>
      <c r="O93" s="11"/>
      <c r="P93" s="11" t="s">
        <v>178</v>
      </c>
      <c r="Q93" s="11"/>
      <c r="R93" s="9" t="s">
        <v>386</v>
      </c>
    </row>
    <row r="94" spans="1:19" x14ac:dyDescent="0.3">
      <c r="A94" s="20" t="s">
        <v>387</v>
      </c>
      <c r="B94" s="20" t="s">
        <v>111</v>
      </c>
      <c r="C94" s="21" t="s">
        <v>388</v>
      </c>
      <c r="D94" s="21" t="s">
        <v>53</v>
      </c>
      <c r="E94" s="22"/>
      <c r="F94" s="29">
        <v>0.17246</v>
      </c>
      <c r="G94" s="22"/>
      <c r="H94" s="32" t="s">
        <v>26</v>
      </c>
      <c r="I94" s="30">
        <v>2500</v>
      </c>
      <c r="J94" s="22">
        <v>431.15</v>
      </c>
      <c r="K94" s="31" t="s">
        <v>207</v>
      </c>
      <c r="L94" s="21" t="s">
        <v>389</v>
      </c>
      <c r="M94" s="32" t="s">
        <v>27</v>
      </c>
      <c r="N94" s="29">
        <v>12</v>
      </c>
      <c r="O94" s="22"/>
      <c r="P94" s="22" t="s">
        <v>209</v>
      </c>
      <c r="Q94" s="22"/>
      <c r="R94" s="20" t="s">
        <v>390</v>
      </c>
    </row>
    <row r="95" spans="1:19" x14ac:dyDescent="0.3">
      <c r="A95" s="9" t="s">
        <v>391</v>
      </c>
      <c r="B95" s="9" t="s">
        <v>25</v>
      </c>
      <c r="C95" s="12" t="s">
        <v>392</v>
      </c>
      <c r="D95" s="12" t="s">
        <v>53</v>
      </c>
      <c r="E95" s="11"/>
      <c r="F95" s="10">
        <v>0.66447999999999996</v>
      </c>
      <c r="G95" s="11"/>
      <c r="H95" s="23" t="s">
        <v>26</v>
      </c>
      <c r="I95" s="11">
        <v>500</v>
      </c>
      <c r="J95" s="11">
        <v>332.24</v>
      </c>
      <c r="K95" s="26" t="s">
        <v>393</v>
      </c>
      <c r="L95" s="12" t="s">
        <v>394</v>
      </c>
      <c r="M95" s="23" t="s">
        <v>27</v>
      </c>
      <c r="N95" s="10">
        <v>25</v>
      </c>
      <c r="O95" s="11"/>
      <c r="P95" s="11" t="s">
        <v>395</v>
      </c>
      <c r="Q95" s="11"/>
      <c r="R95" s="9" t="s">
        <v>396</v>
      </c>
    </row>
    <row r="96" spans="1:19" x14ac:dyDescent="0.3">
      <c r="A96" s="9" t="s">
        <v>397</v>
      </c>
      <c r="B96" s="10" t="s">
        <v>25</v>
      </c>
      <c r="C96" s="12" t="s">
        <v>398</v>
      </c>
      <c r="D96" s="12" t="s">
        <v>53</v>
      </c>
      <c r="E96" s="11"/>
      <c r="F96" s="10">
        <v>1.2415</v>
      </c>
      <c r="G96" s="11"/>
      <c r="H96" s="23" t="s">
        <v>26</v>
      </c>
      <c r="I96" s="25">
        <v>1500</v>
      </c>
      <c r="J96" s="28">
        <v>1862.25</v>
      </c>
      <c r="K96" s="26" t="s">
        <v>132</v>
      </c>
      <c r="L96" s="12" t="s">
        <v>399</v>
      </c>
      <c r="M96" s="23" t="s">
        <v>27</v>
      </c>
      <c r="N96" s="10">
        <v>11</v>
      </c>
      <c r="O96" s="11"/>
      <c r="P96" s="11" t="s">
        <v>400</v>
      </c>
      <c r="Q96" s="11"/>
      <c r="R96" s="9" t="s">
        <v>401</v>
      </c>
    </row>
    <row r="97" spans="1:19" x14ac:dyDescent="0.3">
      <c r="A97" s="9" t="s">
        <v>402</v>
      </c>
      <c r="B97" s="10" t="s">
        <v>25</v>
      </c>
      <c r="C97" s="12" t="s">
        <v>403</v>
      </c>
      <c r="D97" s="12" t="s">
        <v>161</v>
      </c>
      <c r="E97" s="11"/>
      <c r="F97" s="10">
        <v>4.1890000000000001</v>
      </c>
      <c r="G97" s="11"/>
      <c r="H97" s="23" t="s">
        <v>26</v>
      </c>
      <c r="I97" s="11"/>
      <c r="J97" s="11"/>
      <c r="K97" s="26" t="s">
        <v>349</v>
      </c>
      <c r="L97" s="12">
        <v>1829963</v>
      </c>
      <c r="M97" s="23" t="s">
        <v>27</v>
      </c>
      <c r="N97" s="10">
        <v>6</v>
      </c>
      <c r="O97" s="11"/>
      <c r="P97" s="11" t="s">
        <v>178</v>
      </c>
      <c r="Q97" s="11"/>
      <c r="R97" s="9" t="s">
        <v>404</v>
      </c>
    </row>
    <row r="98" spans="1:19" x14ac:dyDescent="0.3">
      <c r="A98" s="17" t="s">
        <v>910</v>
      </c>
      <c r="B98" s="17" t="s">
        <v>25</v>
      </c>
      <c r="C98" s="18" t="s">
        <v>405</v>
      </c>
      <c r="D98" s="18"/>
      <c r="E98" s="19"/>
      <c r="F98" s="33"/>
      <c r="G98" s="19"/>
      <c r="H98" s="24" t="s">
        <v>26</v>
      </c>
      <c r="I98" s="19"/>
      <c r="J98" s="19"/>
      <c r="K98" s="34"/>
      <c r="L98" s="18" t="s">
        <v>406</v>
      </c>
      <c r="M98" s="24"/>
      <c r="N98" s="33"/>
      <c r="O98" s="19"/>
      <c r="P98" s="19"/>
      <c r="Q98" s="19"/>
      <c r="R98" s="17" t="s">
        <v>407</v>
      </c>
    </row>
    <row r="99" spans="1:19" x14ac:dyDescent="0.3">
      <c r="A99" s="20" t="s">
        <v>408</v>
      </c>
      <c r="B99" s="20" t="s">
        <v>111</v>
      </c>
      <c r="C99" s="21" t="s">
        <v>409</v>
      </c>
      <c r="D99" s="21" t="s">
        <v>53</v>
      </c>
      <c r="E99" s="22"/>
      <c r="F99" s="29">
        <v>0.34639999999999999</v>
      </c>
      <c r="G99" s="22"/>
      <c r="H99" s="32" t="s">
        <v>26</v>
      </c>
      <c r="I99" s="22">
        <v>500</v>
      </c>
      <c r="J99" s="22">
        <v>173.2</v>
      </c>
      <c r="K99" s="31" t="s">
        <v>120</v>
      </c>
      <c r="L99" s="21" t="s">
        <v>410</v>
      </c>
      <c r="M99" s="32" t="s">
        <v>27</v>
      </c>
      <c r="N99" s="29">
        <v>16</v>
      </c>
      <c r="O99" s="22"/>
      <c r="P99" s="22" t="s">
        <v>218</v>
      </c>
      <c r="Q99" s="22"/>
      <c r="R99" s="20" t="s">
        <v>411</v>
      </c>
    </row>
    <row r="100" spans="1:19" x14ac:dyDescent="0.3">
      <c r="A100" s="9" t="s">
        <v>412</v>
      </c>
      <c r="B100" s="10" t="s">
        <v>25</v>
      </c>
      <c r="C100" s="12" t="s">
        <v>413</v>
      </c>
      <c r="D100" s="12" t="s">
        <v>161</v>
      </c>
      <c r="E100" s="11"/>
      <c r="F100" s="10">
        <v>0.2</v>
      </c>
      <c r="G100" s="11"/>
      <c r="H100" s="23" t="s">
        <v>26</v>
      </c>
      <c r="I100" s="11">
        <v>500</v>
      </c>
      <c r="J100" s="11">
        <v>100</v>
      </c>
      <c r="K100" s="26" t="s">
        <v>176</v>
      </c>
      <c r="L100" s="12" t="s">
        <v>414</v>
      </c>
      <c r="M100" s="23" t="s">
        <v>27</v>
      </c>
      <c r="N100" s="10">
        <v>4</v>
      </c>
      <c r="O100" s="11"/>
      <c r="P100" s="11" t="s">
        <v>178</v>
      </c>
      <c r="Q100" s="11"/>
      <c r="R100" s="9" t="s">
        <v>415</v>
      </c>
    </row>
    <row r="101" spans="1:19" x14ac:dyDescent="0.3">
      <c r="A101" s="9" t="s">
        <v>416</v>
      </c>
      <c r="B101" s="10" t="s">
        <v>25</v>
      </c>
      <c r="C101" s="12" t="s">
        <v>417</v>
      </c>
      <c r="D101" s="12" t="s">
        <v>161</v>
      </c>
      <c r="E101" s="11"/>
      <c r="F101" s="10">
        <v>7.0410000000000004</v>
      </c>
      <c r="G101" s="11"/>
      <c r="H101" s="23" t="s">
        <v>26</v>
      </c>
      <c r="I101" s="11">
        <v>10</v>
      </c>
      <c r="J101" s="11">
        <v>70.41</v>
      </c>
      <c r="K101" s="26" t="s">
        <v>349</v>
      </c>
      <c r="L101" s="12">
        <v>1829989</v>
      </c>
      <c r="M101" s="23" t="s">
        <v>27</v>
      </c>
      <c r="N101" s="10">
        <v>4</v>
      </c>
      <c r="O101" s="11"/>
      <c r="P101" s="11" t="s">
        <v>178</v>
      </c>
      <c r="Q101" s="11"/>
      <c r="R101" s="9" t="s">
        <v>418</v>
      </c>
    </row>
    <row r="102" spans="1:19" x14ac:dyDescent="0.3">
      <c r="A102" s="9" t="s">
        <v>419</v>
      </c>
      <c r="B102" s="10" t="s">
        <v>25</v>
      </c>
      <c r="C102" s="12" t="s">
        <v>420</v>
      </c>
      <c r="D102" s="12" t="s">
        <v>161</v>
      </c>
      <c r="E102" s="11"/>
      <c r="F102" s="10">
        <v>0.69252999999999998</v>
      </c>
      <c r="G102" s="11"/>
      <c r="H102" s="23" t="s">
        <v>26</v>
      </c>
      <c r="I102" s="11">
        <v>360</v>
      </c>
      <c r="J102" s="11">
        <v>249.31</v>
      </c>
      <c r="K102" s="26" t="s">
        <v>421</v>
      </c>
      <c r="L102" s="12" t="s">
        <v>422</v>
      </c>
      <c r="M102" s="23" t="s">
        <v>27</v>
      </c>
      <c r="N102" s="10">
        <v>12</v>
      </c>
      <c r="O102" s="11"/>
      <c r="P102" s="11" t="s">
        <v>178</v>
      </c>
      <c r="Q102" s="11"/>
      <c r="R102" s="9" t="s">
        <v>423</v>
      </c>
    </row>
    <row r="103" spans="1:19" x14ac:dyDescent="0.3">
      <c r="A103" s="9" t="s">
        <v>424</v>
      </c>
      <c r="B103" s="10" t="s">
        <v>25</v>
      </c>
      <c r="C103" s="12" t="s">
        <v>425</v>
      </c>
      <c r="D103" s="12" t="s">
        <v>53</v>
      </c>
      <c r="E103" s="11"/>
      <c r="F103" s="10">
        <v>0.41704999999999998</v>
      </c>
      <c r="G103" s="11"/>
      <c r="H103" s="23" t="s">
        <v>26</v>
      </c>
      <c r="I103" s="25">
        <v>2500</v>
      </c>
      <c r="J103" s="28">
        <v>1042.6300000000001</v>
      </c>
      <c r="K103" s="26" t="s">
        <v>426</v>
      </c>
      <c r="L103" s="12" t="s">
        <v>427</v>
      </c>
      <c r="M103" s="23" t="s">
        <v>27</v>
      </c>
      <c r="N103" s="10">
        <v>11</v>
      </c>
      <c r="O103" s="11"/>
      <c r="P103" s="11" t="s">
        <v>378</v>
      </c>
      <c r="Q103" s="11"/>
      <c r="R103" s="9" t="s">
        <v>428</v>
      </c>
    </row>
    <row r="104" spans="1:19" x14ac:dyDescent="0.3">
      <c r="A104" s="9" t="s">
        <v>429</v>
      </c>
      <c r="B104" s="10" t="s">
        <v>25</v>
      </c>
      <c r="C104" s="12" t="s">
        <v>430</v>
      </c>
      <c r="D104" s="12" t="s">
        <v>53</v>
      </c>
      <c r="E104" s="11"/>
      <c r="F104" s="10">
        <v>7.7770000000000006E-2</v>
      </c>
      <c r="G104" s="11"/>
      <c r="H104" s="23" t="s">
        <v>26</v>
      </c>
      <c r="I104" s="25">
        <v>3000</v>
      </c>
      <c r="J104" s="11">
        <v>233.31</v>
      </c>
      <c r="K104" s="26" t="s">
        <v>114</v>
      </c>
      <c r="L104" s="12" t="s">
        <v>431</v>
      </c>
      <c r="M104" s="23" t="s">
        <v>27</v>
      </c>
      <c r="N104" s="10">
        <v>12</v>
      </c>
      <c r="O104" s="11"/>
      <c r="P104" s="11" t="s">
        <v>134</v>
      </c>
      <c r="Q104" s="11"/>
      <c r="R104" s="9" t="s">
        <v>432</v>
      </c>
    </row>
    <row r="105" spans="1:19" s="91" customFormat="1" x14ac:dyDescent="0.3">
      <c r="A105" s="87" t="s">
        <v>433</v>
      </c>
      <c r="B105" s="87" t="s">
        <v>25</v>
      </c>
      <c r="C105" s="92" t="s">
        <v>898</v>
      </c>
      <c r="D105" s="92" t="s">
        <v>53</v>
      </c>
      <c r="E105" s="89"/>
      <c r="F105" s="88">
        <v>0.39749000000000001</v>
      </c>
      <c r="G105" s="89"/>
      <c r="H105" s="93" t="s">
        <v>26</v>
      </c>
      <c r="I105" s="90">
        <v>5000</v>
      </c>
      <c r="J105" s="95">
        <v>1987.45</v>
      </c>
      <c r="K105" s="96" t="s">
        <v>897</v>
      </c>
      <c r="L105" s="92" t="s">
        <v>896</v>
      </c>
      <c r="M105" s="93" t="s">
        <v>27</v>
      </c>
      <c r="N105" s="88">
        <v>8</v>
      </c>
      <c r="O105" s="89"/>
      <c r="P105" s="89" t="s">
        <v>49</v>
      </c>
      <c r="Q105" s="89"/>
      <c r="R105" s="87" t="s">
        <v>434</v>
      </c>
      <c r="S105" s="2"/>
    </row>
    <row r="106" spans="1:19" x14ac:dyDescent="0.3">
      <c r="A106" s="9" t="s">
        <v>435</v>
      </c>
      <c r="B106" s="10" t="s">
        <v>25</v>
      </c>
      <c r="C106" s="12" t="s">
        <v>436</v>
      </c>
      <c r="D106" s="12" t="s">
        <v>53</v>
      </c>
      <c r="E106" s="11"/>
      <c r="F106" s="10">
        <v>1.6801299999999999</v>
      </c>
      <c r="G106" s="11"/>
      <c r="H106" s="23" t="s">
        <v>26</v>
      </c>
      <c r="I106" s="25">
        <v>1500</v>
      </c>
      <c r="J106" s="28">
        <v>2520.1999999999998</v>
      </c>
      <c r="K106" s="26" t="s">
        <v>132</v>
      </c>
      <c r="L106" s="12" t="s">
        <v>437</v>
      </c>
      <c r="M106" s="23" t="s">
        <v>27</v>
      </c>
      <c r="N106" s="10">
        <v>23</v>
      </c>
      <c r="O106" s="11"/>
      <c r="P106" s="11" t="s">
        <v>438</v>
      </c>
      <c r="Q106" s="11"/>
      <c r="R106" s="9" t="s">
        <v>439</v>
      </c>
    </row>
    <row r="107" spans="1:19" x14ac:dyDescent="0.3">
      <c r="A107" s="9" t="s">
        <v>440</v>
      </c>
      <c r="B107" s="10" t="s">
        <v>25</v>
      </c>
      <c r="C107" s="12" t="s">
        <v>441</v>
      </c>
      <c r="D107" s="12" t="s">
        <v>53</v>
      </c>
      <c r="E107" s="11"/>
      <c r="F107" s="10">
        <v>9.8000000000000004E-2</v>
      </c>
      <c r="G107" s="11"/>
      <c r="H107" s="23" t="s">
        <v>26</v>
      </c>
      <c r="I107" s="25">
        <v>7500</v>
      </c>
      <c r="J107" s="11">
        <v>735</v>
      </c>
      <c r="K107" s="26" t="s">
        <v>442</v>
      </c>
      <c r="L107" s="12" t="s">
        <v>443</v>
      </c>
      <c r="M107" s="23" t="s">
        <v>27</v>
      </c>
      <c r="N107" s="10">
        <v>20</v>
      </c>
      <c r="O107" s="11"/>
      <c r="P107" s="11" t="s">
        <v>116</v>
      </c>
      <c r="Q107" s="11"/>
      <c r="R107" s="9" t="s">
        <v>444</v>
      </c>
    </row>
    <row r="108" spans="1:19" x14ac:dyDescent="0.3">
      <c r="A108" s="9" t="s">
        <v>445</v>
      </c>
      <c r="B108" s="10" t="s">
        <v>25</v>
      </c>
      <c r="C108" s="12" t="s">
        <v>446</v>
      </c>
      <c r="D108" s="12" t="s">
        <v>53</v>
      </c>
      <c r="E108" s="11"/>
      <c r="F108" s="10">
        <v>0.54790000000000005</v>
      </c>
      <c r="G108" s="11"/>
      <c r="H108" s="23" t="s">
        <v>26</v>
      </c>
      <c r="I108" s="25">
        <v>1000</v>
      </c>
      <c r="J108" s="11">
        <v>547.9</v>
      </c>
      <c r="K108" s="26" t="s">
        <v>447</v>
      </c>
      <c r="L108" s="12" t="s">
        <v>448</v>
      </c>
      <c r="M108" s="23" t="s">
        <v>27</v>
      </c>
      <c r="N108" s="10">
        <v>19</v>
      </c>
      <c r="O108" s="11"/>
      <c r="P108" s="11" t="s">
        <v>449</v>
      </c>
      <c r="Q108" s="11"/>
      <c r="R108" s="9" t="s">
        <v>450</v>
      </c>
    </row>
    <row r="109" spans="1:19" x14ac:dyDescent="0.3">
      <c r="A109" s="9" t="s">
        <v>451</v>
      </c>
      <c r="B109" s="10" t="s">
        <v>25</v>
      </c>
      <c r="C109" s="12" t="s">
        <v>452</v>
      </c>
      <c r="D109" s="12" t="s">
        <v>53</v>
      </c>
      <c r="E109" s="11"/>
      <c r="F109" s="10">
        <v>0.43425999999999998</v>
      </c>
      <c r="G109" s="11"/>
      <c r="H109" s="23" t="s">
        <v>26</v>
      </c>
      <c r="I109" s="25">
        <v>2000</v>
      </c>
      <c r="J109" s="11">
        <v>868.52</v>
      </c>
      <c r="K109" s="26" t="s">
        <v>447</v>
      </c>
      <c r="L109" s="12" t="s">
        <v>453</v>
      </c>
      <c r="M109" s="23" t="s">
        <v>27</v>
      </c>
      <c r="N109" s="10">
        <v>17</v>
      </c>
      <c r="O109" s="11"/>
      <c r="P109" s="11" t="s">
        <v>449</v>
      </c>
      <c r="Q109" s="11"/>
      <c r="R109" s="9" t="s">
        <v>454</v>
      </c>
    </row>
    <row r="110" spans="1:19" x14ac:dyDescent="0.3">
      <c r="A110" s="20" t="s">
        <v>455</v>
      </c>
      <c r="B110" s="20" t="s">
        <v>111</v>
      </c>
      <c r="C110" s="21" t="s">
        <v>456</v>
      </c>
      <c r="D110" s="21" t="s">
        <v>161</v>
      </c>
      <c r="E110" s="22"/>
      <c r="F110" s="29">
        <v>0.40927999999999998</v>
      </c>
      <c r="G110" s="22"/>
      <c r="H110" s="32" t="s">
        <v>26</v>
      </c>
      <c r="I110" s="22">
        <v>500</v>
      </c>
      <c r="J110" s="22">
        <v>204.64</v>
      </c>
      <c r="K110" s="31" t="s">
        <v>457</v>
      </c>
      <c r="L110" s="21" t="s">
        <v>458</v>
      </c>
      <c r="M110" s="32" t="s">
        <v>27</v>
      </c>
      <c r="N110" s="29">
        <v>20</v>
      </c>
      <c r="O110" s="22"/>
      <c r="P110" s="22" t="s">
        <v>178</v>
      </c>
      <c r="Q110" s="22"/>
      <c r="R110" s="20" t="s">
        <v>459</v>
      </c>
    </row>
    <row r="111" spans="1:19" x14ac:dyDescent="0.3">
      <c r="A111" s="9" t="s">
        <v>460</v>
      </c>
      <c r="B111" s="9" t="s">
        <v>25</v>
      </c>
      <c r="C111" s="12" t="s">
        <v>461</v>
      </c>
      <c r="D111" s="12" t="s">
        <v>161</v>
      </c>
      <c r="E111" s="11"/>
      <c r="F111" s="10">
        <v>2.0091999999999999</v>
      </c>
      <c r="G111" s="11"/>
      <c r="H111" s="23" t="s">
        <v>26</v>
      </c>
      <c r="I111" s="11">
        <v>25</v>
      </c>
      <c r="J111" s="11">
        <v>50.23</v>
      </c>
      <c r="K111" s="26" t="s">
        <v>349</v>
      </c>
      <c r="L111" s="12">
        <v>1727036</v>
      </c>
      <c r="M111" s="23" t="s">
        <v>27</v>
      </c>
      <c r="N111" s="10">
        <v>5</v>
      </c>
      <c r="O111" s="11"/>
      <c r="P111" s="11" t="s">
        <v>363</v>
      </c>
      <c r="Q111" s="11"/>
      <c r="R111" s="9" t="s">
        <v>462</v>
      </c>
    </row>
    <row r="112" spans="1:19" x14ac:dyDescent="0.3">
      <c r="A112" s="9" t="s">
        <v>463</v>
      </c>
      <c r="B112" s="9" t="s">
        <v>25</v>
      </c>
      <c r="C112" s="12" t="s">
        <v>464</v>
      </c>
      <c r="D112" s="12" t="s">
        <v>161</v>
      </c>
      <c r="E112" s="11"/>
      <c r="F112" s="10">
        <v>1.26159</v>
      </c>
      <c r="G112" s="11"/>
      <c r="H112" s="23" t="s">
        <v>26</v>
      </c>
      <c r="I112" s="11">
        <v>44</v>
      </c>
      <c r="J112" s="11">
        <v>55.51</v>
      </c>
      <c r="K112" s="26" t="s">
        <v>356</v>
      </c>
      <c r="L112" s="12" t="s">
        <v>465</v>
      </c>
      <c r="M112" s="23" t="s">
        <v>27</v>
      </c>
      <c r="N112" s="10">
        <v>21</v>
      </c>
      <c r="O112" s="11"/>
      <c r="P112" s="11" t="s">
        <v>178</v>
      </c>
      <c r="Q112" s="11"/>
      <c r="R112" s="9" t="s">
        <v>466</v>
      </c>
    </row>
    <row r="113" spans="1:19" x14ac:dyDescent="0.3">
      <c r="A113" s="9" t="s">
        <v>467</v>
      </c>
      <c r="B113" s="9" t="s">
        <v>25</v>
      </c>
      <c r="C113" s="12" t="s">
        <v>468</v>
      </c>
      <c r="D113" s="12" t="s">
        <v>53</v>
      </c>
      <c r="E113" s="11"/>
      <c r="F113" s="10">
        <v>1.98553</v>
      </c>
      <c r="G113" s="11"/>
      <c r="H113" s="23" t="s">
        <v>26</v>
      </c>
      <c r="I113" s="25">
        <v>2500</v>
      </c>
      <c r="J113" s="28">
        <v>4963.83</v>
      </c>
      <c r="K113" s="26" t="s">
        <v>469</v>
      </c>
      <c r="L113" s="12" t="s">
        <v>470</v>
      </c>
      <c r="M113" s="23" t="s">
        <v>27</v>
      </c>
      <c r="N113" s="10">
        <v>13</v>
      </c>
      <c r="O113" s="11"/>
      <c r="P113" s="11" t="s">
        <v>378</v>
      </c>
      <c r="Q113" s="11"/>
      <c r="R113" s="9" t="s">
        <v>471</v>
      </c>
    </row>
    <row r="114" spans="1:19" x14ac:dyDescent="0.3">
      <c r="A114" s="9" t="s">
        <v>472</v>
      </c>
      <c r="B114" s="9" t="s">
        <v>25</v>
      </c>
      <c r="C114" s="12" t="s">
        <v>473</v>
      </c>
      <c r="D114" s="12" t="s">
        <v>53</v>
      </c>
      <c r="E114" s="11"/>
      <c r="F114" s="10">
        <v>5.074E-2</v>
      </c>
      <c r="G114" s="11"/>
      <c r="H114" s="23" t="s">
        <v>26</v>
      </c>
      <c r="I114" s="25">
        <v>2000</v>
      </c>
      <c r="J114" s="11">
        <v>101.48</v>
      </c>
      <c r="K114" s="26" t="s">
        <v>474</v>
      </c>
      <c r="L114" s="12" t="s">
        <v>475</v>
      </c>
      <c r="M114" s="23" t="s">
        <v>27</v>
      </c>
      <c r="N114" s="10">
        <v>16</v>
      </c>
      <c r="O114" s="11"/>
      <c r="P114" s="11" t="s">
        <v>58</v>
      </c>
      <c r="Q114" s="11"/>
      <c r="R114" s="9" t="s">
        <v>476</v>
      </c>
    </row>
    <row r="115" spans="1:19" x14ac:dyDescent="0.3">
      <c r="A115" s="9" t="s">
        <v>477</v>
      </c>
      <c r="B115" s="9" t="s">
        <v>25</v>
      </c>
      <c r="C115" s="12" t="s">
        <v>478</v>
      </c>
      <c r="D115" s="12" t="s">
        <v>53</v>
      </c>
      <c r="E115" s="11"/>
      <c r="F115" s="10">
        <v>0.57574000000000003</v>
      </c>
      <c r="G115" s="11"/>
      <c r="H115" s="23" t="s">
        <v>26</v>
      </c>
      <c r="I115" s="11">
        <v>500</v>
      </c>
      <c r="J115" s="11">
        <v>287.87</v>
      </c>
      <c r="K115" s="26" t="s">
        <v>479</v>
      </c>
      <c r="L115" s="12" t="s">
        <v>480</v>
      </c>
      <c r="M115" s="23" t="s">
        <v>27</v>
      </c>
      <c r="N115" s="10">
        <v>17</v>
      </c>
      <c r="O115" s="11"/>
      <c r="P115" s="11" t="s">
        <v>218</v>
      </c>
      <c r="Q115" s="11"/>
      <c r="R115" s="9" t="s">
        <v>481</v>
      </c>
    </row>
    <row r="116" spans="1:19" x14ac:dyDescent="0.3">
      <c r="A116" s="79" t="s">
        <v>482</v>
      </c>
      <c r="B116" s="9" t="s">
        <v>25</v>
      </c>
      <c r="C116" s="12" t="s">
        <v>483</v>
      </c>
      <c r="D116" s="12" t="s">
        <v>53</v>
      </c>
      <c r="E116" s="11"/>
      <c r="F116" s="10">
        <v>5.8709999999999998E-2</v>
      </c>
      <c r="G116" s="11"/>
      <c r="H116" s="23" t="s">
        <v>26</v>
      </c>
      <c r="I116" s="25">
        <v>3000</v>
      </c>
      <c r="J116" s="11">
        <v>176.13</v>
      </c>
      <c r="K116" s="26" t="s">
        <v>57</v>
      </c>
      <c r="L116" s="12" t="s">
        <v>484</v>
      </c>
      <c r="M116" s="23" t="s">
        <v>27</v>
      </c>
      <c r="N116" s="10">
        <v>16</v>
      </c>
      <c r="O116" s="11"/>
      <c r="P116" s="11" t="s">
        <v>58</v>
      </c>
      <c r="Q116" s="11"/>
      <c r="R116" s="9" t="s">
        <v>485</v>
      </c>
    </row>
    <row r="117" spans="1:19" x14ac:dyDescent="0.3">
      <c r="A117" s="13" t="s">
        <v>486</v>
      </c>
      <c r="B117" s="13" t="s">
        <v>25</v>
      </c>
      <c r="C117" s="16" t="s">
        <v>487</v>
      </c>
      <c r="D117" s="16" t="s">
        <v>53</v>
      </c>
      <c r="E117" s="15"/>
      <c r="F117" s="14"/>
      <c r="G117" s="15"/>
      <c r="H117" s="43" t="s">
        <v>26</v>
      </c>
      <c r="I117" s="15"/>
      <c r="J117" s="15"/>
      <c r="K117" s="42"/>
      <c r="L117" s="16" t="s">
        <v>488</v>
      </c>
      <c r="M117" s="43"/>
      <c r="N117" s="14"/>
      <c r="O117" s="15"/>
      <c r="P117" s="15"/>
      <c r="Q117" s="15"/>
      <c r="R117" s="13" t="s">
        <v>489</v>
      </c>
    </row>
    <row r="118" spans="1:19" s="91" customFormat="1" x14ac:dyDescent="0.3">
      <c r="A118" s="87" t="s">
        <v>490</v>
      </c>
      <c r="B118" s="87" t="s">
        <v>25</v>
      </c>
      <c r="C118" s="92" t="s">
        <v>491</v>
      </c>
      <c r="D118" s="92" t="s">
        <v>161</v>
      </c>
      <c r="E118" s="89"/>
      <c r="F118" s="88">
        <v>24.76</v>
      </c>
      <c r="G118" s="89"/>
      <c r="H118" s="93" t="s">
        <v>26</v>
      </c>
      <c r="I118" s="89">
        <v>10</v>
      </c>
      <c r="J118" s="89">
        <v>247.6</v>
      </c>
      <c r="K118" s="94" t="s">
        <v>901</v>
      </c>
      <c r="L118" s="92" t="s">
        <v>900</v>
      </c>
      <c r="M118" s="93" t="s">
        <v>27</v>
      </c>
      <c r="N118" s="88">
        <v>18</v>
      </c>
      <c r="O118" s="89"/>
      <c r="P118" s="89" t="s">
        <v>899</v>
      </c>
      <c r="Q118" s="89"/>
      <c r="R118" s="87" t="s">
        <v>492</v>
      </c>
      <c r="S118" s="2"/>
    </row>
    <row r="119" spans="1:19" x14ac:dyDescent="0.3">
      <c r="A119" s="13" t="s">
        <v>493</v>
      </c>
      <c r="B119" s="13" t="s">
        <v>25</v>
      </c>
      <c r="C119" s="16" t="s">
        <v>494</v>
      </c>
      <c r="D119" s="16" t="s">
        <v>53</v>
      </c>
      <c r="E119" s="15"/>
      <c r="F119" s="14"/>
      <c r="G119" s="15"/>
      <c r="H119" s="43" t="s">
        <v>26</v>
      </c>
      <c r="I119" s="15"/>
      <c r="J119" s="15"/>
      <c r="K119" s="42"/>
      <c r="L119" s="16" t="s">
        <v>495</v>
      </c>
      <c r="M119" s="43"/>
      <c r="N119" s="14"/>
      <c r="O119" s="15"/>
      <c r="P119" s="15"/>
      <c r="Q119" s="15"/>
      <c r="R119" s="13" t="s">
        <v>496</v>
      </c>
    </row>
    <row r="120" spans="1:19" x14ac:dyDescent="0.3">
      <c r="A120" s="9" t="s">
        <v>497</v>
      </c>
      <c r="B120" s="9" t="s">
        <v>25</v>
      </c>
      <c r="C120" s="12" t="s">
        <v>498</v>
      </c>
      <c r="D120" s="12" t="s">
        <v>53</v>
      </c>
      <c r="E120" s="11"/>
      <c r="F120" s="10">
        <v>3.7609999999999998E-2</v>
      </c>
      <c r="G120" s="11"/>
      <c r="H120" s="23" t="s">
        <v>26</v>
      </c>
      <c r="I120" s="25">
        <v>3000</v>
      </c>
      <c r="J120" s="11">
        <v>112.83</v>
      </c>
      <c r="K120" s="26" t="s">
        <v>499</v>
      </c>
      <c r="L120" s="12" t="s">
        <v>500</v>
      </c>
      <c r="M120" s="23" t="s">
        <v>27</v>
      </c>
      <c r="N120" s="10">
        <v>11</v>
      </c>
      <c r="O120" s="11"/>
      <c r="P120" s="11" t="s">
        <v>501</v>
      </c>
      <c r="Q120" s="11"/>
      <c r="R120" s="9" t="s">
        <v>502</v>
      </c>
    </row>
    <row r="121" spans="1:19" x14ac:dyDescent="0.3">
      <c r="A121" s="9" t="s">
        <v>503</v>
      </c>
      <c r="B121" s="9" t="s">
        <v>25</v>
      </c>
      <c r="C121" s="12" t="s">
        <v>504</v>
      </c>
      <c r="D121" s="12" t="s">
        <v>53</v>
      </c>
      <c r="E121" s="11"/>
      <c r="F121" s="10">
        <v>0.45084000000000002</v>
      </c>
      <c r="G121" s="11"/>
      <c r="H121" s="23" t="s">
        <v>26</v>
      </c>
      <c r="I121" s="71">
        <v>500</v>
      </c>
      <c r="J121" s="11">
        <v>225.42</v>
      </c>
      <c r="K121" s="26" t="s">
        <v>120</v>
      </c>
      <c r="L121" s="12" t="s">
        <v>505</v>
      </c>
      <c r="M121" s="23" t="s">
        <v>27</v>
      </c>
      <c r="N121" s="10">
        <v>16</v>
      </c>
      <c r="O121" s="11"/>
      <c r="P121" s="11" t="s">
        <v>218</v>
      </c>
      <c r="Q121" s="11"/>
      <c r="R121" s="9" t="s">
        <v>506</v>
      </c>
    </row>
    <row r="122" spans="1:19" x14ac:dyDescent="0.3">
      <c r="A122" s="17" t="s">
        <v>507</v>
      </c>
      <c r="B122" s="17" t="s">
        <v>25</v>
      </c>
      <c r="C122" s="18" t="s">
        <v>508</v>
      </c>
      <c r="D122" s="18" t="s">
        <v>53</v>
      </c>
      <c r="E122" s="19"/>
      <c r="F122" s="33"/>
      <c r="G122" s="19"/>
      <c r="H122" s="24" t="s">
        <v>26</v>
      </c>
      <c r="I122" s="19"/>
      <c r="J122" s="19"/>
      <c r="K122" s="34"/>
      <c r="L122" s="18" t="s">
        <v>509</v>
      </c>
      <c r="M122" s="24" t="s">
        <v>27</v>
      </c>
      <c r="N122" s="33"/>
      <c r="O122" s="19"/>
      <c r="P122" s="19"/>
      <c r="Q122" s="19"/>
      <c r="R122" s="17" t="s">
        <v>510</v>
      </c>
    </row>
    <row r="123" spans="1:19" x14ac:dyDescent="0.3">
      <c r="A123" s="9" t="s">
        <v>511</v>
      </c>
      <c r="B123" s="9" t="s">
        <v>25</v>
      </c>
      <c r="C123" s="12" t="s">
        <v>512</v>
      </c>
      <c r="D123" s="12" t="s">
        <v>161</v>
      </c>
      <c r="E123" s="11"/>
      <c r="F123" s="10">
        <v>0.33106000000000002</v>
      </c>
      <c r="G123" s="11"/>
      <c r="H123" s="23" t="s">
        <v>26</v>
      </c>
      <c r="I123" s="11">
        <v>500</v>
      </c>
      <c r="J123" s="11">
        <v>165.53</v>
      </c>
      <c r="K123" s="26" t="s">
        <v>513</v>
      </c>
      <c r="L123" s="12" t="s">
        <v>514</v>
      </c>
      <c r="M123" s="23" t="s">
        <v>27</v>
      </c>
      <c r="N123" s="10">
        <v>16</v>
      </c>
      <c r="O123" s="11"/>
      <c r="P123" s="11" t="s">
        <v>515</v>
      </c>
      <c r="Q123" s="11"/>
      <c r="R123" s="9" t="s">
        <v>516</v>
      </c>
    </row>
    <row r="124" spans="1:19" x14ac:dyDescent="0.3">
      <c r="A124" s="79" t="s">
        <v>517</v>
      </c>
      <c r="B124" s="9" t="s">
        <v>25</v>
      </c>
      <c r="C124" s="12" t="s">
        <v>518</v>
      </c>
      <c r="D124" s="12" t="s">
        <v>161</v>
      </c>
      <c r="E124" s="11"/>
      <c r="F124" s="10">
        <v>23.686889999999998</v>
      </c>
      <c r="G124" s="11"/>
      <c r="H124" s="23" t="s">
        <v>26</v>
      </c>
      <c r="I124" s="11">
        <v>45</v>
      </c>
      <c r="J124" s="28">
        <v>1065.9100000000001</v>
      </c>
      <c r="K124" s="26" t="s">
        <v>519</v>
      </c>
      <c r="L124" s="12" t="s">
        <v>520</v>
      </c>
      <c r="M124" s="23" t="s">
        <v>27</v>
      </c>
      <c r="N124" s="10">
        <v>16</v>
      </c>
      <c r="O124" s="11"/>
      <c r="P124" s="11" t="s">
        <v>521</v>
      </c>
      <c r="Q124" s="11"/>
      <c r="R124" s="9" t="s">
        <v>522</v>
      </c>
    </row>
    <row r="125" spans="1:19" x14ac:dyDescent="0.3">
      <c r="A125" s="9" t="s">
        <v>523</v>
      </c>
      <c r="B125" s="9" t="s">
        <v>25</v>
      </c>
      <c r="C125" s="12" t="s">
        <v>524</v>
      </c>
      <c r="D125" s="12" t="s">
        <v>161</v>
      </c>
      <c r="E125" s="11"/>
      <c r="F125" s="10">
        <v>3.5724999999999998</v>
      </c>
      <c r="G125" s="11"/>
      <c r="H125" s="11" t="s">
        <v>26</v>
      </c>
      <c r="I125" s="11">
        <v>100</v>
      </c>
      <c r="J125" s="11">
        <v>357.25</v>
      </c>
      <c r="K125" s="11" t="s">
        <v>382</v>
      </c>
      <c r="L125" s="11">
        <v>1615690000</v>
      </c>
      <c r="M125" s="11" t="s">
        <v>27</v>
      </c>
      <c r="N125" s="10">
        <v>6</v>
      </c>
      <c r="O125" s="11"/>
      <c r="P125" s="40" t="s">
        <v>363</v>
      </c>
      <c r="Q125" s="11"/>
      <c r="R125" s="9" t="s">
        <v>525</v>
      </c>
    </row>
    <row r="126" spans="1:19" x14ac:dyDescent="0.3">
      <c r="A126" s="17" t="s">
        <v>526</v>
      </c>
      <c r="B126" s="17" t="s">
        <v>25</v>
      </c>
      <c r="C126" s="18" t="s">
        <v>527</v>
      </c>
      <c r="D126" s="18" t="s">
        <v>161</v>
      </c>
      <c r="E126" s="19"/>
      <c r="F126" s="33"/>
      <c r="G126" s="19"/>
      <c r="H126" s="24" t="s">
        <v>26</v>
      </c>
      <c r="I126" s="19"/>
      <c r="J126" s="19"/>
      <c r="K126" s="34"/>
      <c r="L126" s="18" t="s">
        <v>528</v>
      </c>
      <c r="M126" s="24"/>
      <c r="N126" s="33"/>
      <c r="O126" s="19"/>
      <c r="P126" s="19"/>
      <c r="Q126" s="19"/>
      <c r="R126" s="17" t="s">
        <v>529</v>
      </c>
    </row>
    <row r="127" spans="1:19" x14ac:dyDescent="0.3">
      <c r="A127" s="9" t="s">
        <v>530</v>
      </c>
      <c r="B127" s="9" t="s">
        <v>25</v>
      </c>
      <c r="C127" s="12" t="s">
        <v>531</v>
      </c>
      <c r="D127" s="12" t="s">
        <v>161</v>
      </c>
      <c r="E127" s="11"/>
      <c r="F127" s="10">
        <v>0.23599999999999999</v>
      </c>
      <c r="G127" s="11"/>
      <c r="H127" s="23" t="s">
        <v>26</v>
      </c>
      <c r="I127" s="11">
        <v>60</v>
      </c>
      <c r="J127" s="11">
        <v>14.16</v>
      </c>
      <c r="K127" s="26" t="s">
        <v>421</v>
      </c>
      <c r="L127" s="12" t="s">
        <v>532</v>
      </c>
      <c r="M127" s="23" t="s">
        <v>27</v>
      </c>
      <c r="N127" s="10">
        <v>13</v>
      </c>
      <c r="O127" s="11"/>
      <c r="P127" s="11" t="s">
        <v>178</v>
      </c>
      <c r="Q127" s="11"/>
      <c r="R127" s="9" t="s">
        <v>533</v>
      </c>
    </row>
    <row r="128" spans="1:19" x14ac:dyDescent="0.3">
      <c r="A128" s="9" t="s">
        <v>534</v>
      </c>
      <c r="B128" s="9" t="s">
        <v>25</v>
      </c>
      <c r="C128" s="12" t="s">
        <v>535</v>
      </c>
      <c r="D128" s="12" t="s">
        <v>161</v>
      </c>
      <c r="E128" s="11"/>
      <c r="F128" s="10">
        <v>1.85</v>
      </c>
      <c r="G128" s="11"/>
      <c r="H128" s="23" t="s">
        <v>26</v>
      </c>
      <c r="I128" s="11">
        <v>120</v>
      </c>
      <c r="J128" s="11">
        <v>222</v>
      </c>
      <c r="K128" s="26" t="s">
        <v>536</v>
      </c>
      <c r="L128" s="12" t="s">
        <v>537</v>
      </c>
      <c r="M128" s="23" t="s">
        <v>223</v>
      </c>
      <c r="N128" s="10">
        <v>15</v>
      </c>
      <c r="O128" s="11"/>
      <c r="P128" s="11" t="s">
        <v>395</v>
      </c>
      <c r="Q128" s="11"/>
      <c r="R128" s="9" t="s">
        <v>538</v>
      </c>
    </row>
    <row r="129" spans="1:19" x14ac:dyDescent="0.3">
      <c r="A129" s="9" t="s">
        <v>539</v>
      </c>
      <c r="B129" s="9" t="s">
        <v>25</v>
      </c>
      <c r="C129" s="12" t="s">
        <v>540</v>
      </c>
      <c r="D129" s="12" t="s">
        <v>53</v>
      </c>
      <c r="E129" s="11"/>
      <c r="F129" s="10">
        <v>9.5000000000000001E-2</v>
      </c>
      <c r="G129" s="11"/>
      <c r="H129" s="23" t="s">
        <v>26</v>
      </c>
      <c r="I129" s="25">
        <v>2000</v>
      </c>
      <c r="J129" s="11">
        <v>190</v>
      </c>
      <c r="K129" s="26" t="s">
        <v>474</v>
      </c>
      <c r="L129" s="12" t="s">
        <v>541</v>
      </c>
      <c r="M129" s="23" t="s">
        <v>27</v>
      </c>
      <c r="N129" s="10">
        <v>10</v>
      </c>
      <c r="O129" s="11"/>
      <c r="P129" s="11" t="s">
        <v>501</v>
      </c>
      <c r="Q129" s="11"/>
      <c r="R129" s="9" t="s">
        <v>542</v>
      </c>
    </row>
    <row r="130" spans="1:19" x14ac:dyDescent="0.3">
      <c r="A130" s="9" t="s">
        <v>543</v>
      </c>
      <c r="B130" s="9" t="s">
        <v>25</v>
      </c>
      <c r="C130" s="12" t="s">
        <v>544</v>
      </c>
      <c r="D130" s="12" t="s">
        <v>161</v>
      </c>
      <c r="E130" s="11"/>
      <c r="F130" s="10">
        <v>0.56179999999999997</v>
      </c>
      <c r="G130" s="11"/>
      <c r="H130" s="23" t="s">
        <v>26</v>
      </c>
      <c r="I130" s="11">
        <v>100</v>
      </c>
      <c r="J130" s="11">
        <v>56.18</v>
      </c>
      <c r="K130" s="26" t="s">
        <v>382</v>
      </c>
      <c r="L130" s="12">
        <v>1149400000</v>
      </c>
      <c r="M130" s="23" t="s">
        <v>27</v>
      </c>
      <c r="N130" s="10">
        <v>7</v>
      </c>
      <c r="O130" s="11"/>
      <c r="P130" s="11" t="s">
        <v>178</v>
      </c>
      <c r="Q130" s="11"/>
      <c r="R130" s="9" t="s">
        <v>545</v>
      </c>
    </row>
    <row r="131" spans="1:19" s="54" customFormat="1" x14ac:dyDescent="0.3">
      <c r="A131" s="9" t="s">
        <v>874</v>
      </c>
      <c r="B131" s="9" t="s">
        <v>25</v>
      </c>
      <c r="C131" s="12" t="s">
        <v>875</v>
      </c>
      <c r="D131" s="12" t="s">
        <v>161</v>
      </c>
      <c r="E131" s="11"/>
      <c r="F131" s="10">
        <v>1.8374999999999999</v>
      </c>
      <c r="G131" s="11"/>
      <c r="H131" s="23" t="s">
        <v>26</v>
      </c>
      <c r="I131" s="11">
        <v>100</v>
      </c>
      <c r="J131" s="11">
        <v>183.75</v>
      </c>
      <c r="K131" s="26" t="s">
        <v>176</v>
      </c>
      <c r="L131" s="12" t="s">
        <v>546</v>
      </c>
      <c r="M131" s="23" t="s">
        <v>27</v>
      </c>
      <c r="N131" s="10">
        <v>4</v>
      </c>
      <c r="O131" s="11"/>
      <c r="P131" s="11" t="s">
        <v>178</v>
      </c>
      <c r="Q131" s="11"/>
      <c r="R131" s="9" t="s">
        <v>547</v>
      </c>
      <c r="S131" s="2"/>
    </row>
    <row r="132" spans="1:19" x14ac:dyDescent="0.3">
      <c r="A132" s="9" t="s">
        <v>548</v>
      </c>
      <c r="B132" s="9" t="s">
        <v>25</v>
      </c>
      <c r="C132" s="12" t="s">
        <v>549</v>
      </c>
      <c r="D132" s="12" t="s">
        <v>161</v>
      </c>
      <c r="E132" s="11"/>
      <c r="F132" s="10">
        <v>7.8768000000000002</v>
      </c>
      <c r="G132" s="11"/>
      <c r="H132" s="23" t="s">
        <v>26</v>
      </c>
      <c r="I132" s="11"/>
      <c r="J132" s="11"/>
      <c r="K132" s="26" t="s">
        <v>382</v>
      </c>
      <c r="L132" s="12">
        <v>1615700000</v>
      </c>
      <c r="M132" s="23" t="s">
        <v>27</v>
      </c>
      <c r="N132" s="10">
        <v>7</v>
      </c>
      <c r="O132" s="11"/>
      <c r="P132" s="11" t="s">
        <v>363</v>
      </c>
      <c r="Q132" s="11"/>
      <c r="R132" s="9" t="s">
        <v>550</v>
      </c>
    </row>
    <row r="133" spans="1:19" x14ac:dyDescent="0.3">
      <c r="A133" s="17" t="s">
        <v>551</v>
      </c>
      <c r="B133" s="17" t="s">
        <v>111</v>
      </c>
      <c r="C133" s="18" t="s">
        <v>552</v>
      </c>
      <c r="D133" s="18" t="s">
        <v>161</v>
      </c>
      <c r="E133" s="19"/>
      <c r="F133" s="33"/>
      <c r="G133" s="19"/>
      <c r="H133" s="24" t="s">
        <v>26</v>
      </c>
      <c r="I133" s="19"/>
      <c r="J133" s="19"/>
      <c r="K133" s="34" t="s">
        <v>553</v>
      </c>
      <c r="L133" s="18"/>
      <c r="M133" s="24"/>
      <c r="N133" s="33"/>
      <c r="O133" s="19"/>
      <c r="P133" s="19"/>
      <c r="Q133" s="19"/>
      <c r="R133" s="17" t="s">
        <v>554</v>
      </c>
    </row>
    <row r="134" spans="1:19" x14ac:dyDescent="0.3">
      <c r="A134" s="9" t="s">
        <v>555</v>
      </c>
      <c r="B134" s="9" t="s">
        <v>25</v>
      </c>
      <c r="C134" s="12" t="s">
        <v>556</v>
      </c>
      <c r="D134" s="12" t="s">
        <v>161</v>
      </c>
      <c r="E134" s="9"/>
      <c r="F134" s="9">
        <v>3.8472</v>
      </c>
      <c r="G134" s="9"/>
      <c r="H134" s="23" t="s">
        <v>26</v>
      </c>
      <c r="I134" s="23"/>
      <c r="J134" s="23"/>
      <c r="K134" s="12" t="s">
        <v>382</v>
      </c>
      <c r="L134" s="12">
        <v>1943830000</v>
      </c>
      <c r="M134" s="23" t="s">
        <v>27</v>
      </c>
      <c r="N134" s="9">
        <v>7</v>
      </c>
      <c r="O134" s="9"/>
      <c r="P134" s="23" t="s">
        <v>363</v>
      </c>
      <c r="Q134" s="12"/>
      <c r="R134" s="9" t="s">
        <v>557</v>
      </c>
    </row>
    <row r="135" spans="1:19" x14ac:dyDescent="0.3">
      <c r="A135" s="9" t="s">
        <v>558</v>
      </c>
      <c r="B135" s="9" t="s">
        <v>25</v>
      </c>
      <c r="C135" s="12" t="s">
        <v>559</v>
      </c>
      <c r="D135" s="12" t="s">
        <v>53</v>
      </c>
      <c r="E135" s="9"/>
      <c r="F135" s="9">
        <v>0.13700000000000001</v>
      </c>
      <c r="G135" s="9"/>
      <c r="H135" s="23" t="s">
        <v>26</v>
      </c>
      <c r="I135" s="70">
        <v>2500</v>
      </c>
      <c r="J135" s="23">
        <v>342.5</v>
      </c>
      <c r="K135" s="12" t="s">
        <v>560</v>
      </c>
      <c r="L135" s="12" t="s">
        <v>561</v>
      </c>
      <c r="M135" s="23" t="s">
        <v>223</v>
      </c>
      <c r="N135" s="9">
        <v>16</v>
      </c>
      <c r="O135" s="9"/>
      <c r="P135" s="23" t="s">
        <v>562</v>
      </c>
      <c r="Q135" s="12"/>
      <c r="R135" s="9" t="s">
        <v>563</v>
      </c>
    </row>
    <row r="136" spans="1:19" x14ac:dyDescent="0.3">
      <c r="A136" s="20" t="s">
        <v>564</v>
      </c>
      <c r="B136" s="20" t="s">
        <v>111</v>
      </c>
      <c r="C136" s="21" t="s">
        <v>565</v>
      </c>
      <c r="D136" s="21" t="s">
        <v>53</v>
      </c>
      <c r="E136" s="20"/>
      <c r="F136" s="20">
        <v>6.5740000000000007E-2</v>
      </c>
      <c r="G136" s="20"/>
      <c r="H136" s="32" t="s">
        <v>26</v>
      </c>
      <c r="I136" s="72">
        <v>4000</v>
      </c>
      <c r="J136" s="32">
        <v>262.95999999999998</v>
      </c>
      <c r="K136" s="21" t="s">
        <v>57</v>
      </c>
      <c r="L136" s="21" t="s">
        <v>566</v>
      </c>
      <c r="M136" s="32" t="s">
        <v>27</v>
      </c>
      <c r="N136" s="20">
        <v>20</v>
      </c>
      <c r="O136" s="20"/>
      <c r="P136" s="32" t="s">
        <v>567</v>
      </c>
      <c r="Q136" s="21"/>
      <c r="R136" s="20" t="s">
        <v>568</v>
      </c>
    </row>
    <row r="137" spans="1:19" x14ac:dyDescent="0.3">
      <c r="A137" s="79" t="s">
        <v>569</v>
      </c>
      <c r="B137" s="9" t="s">
        <v>25</v>
      </c>
      <c r="C137" s="12" t="s">
        <v>570</v>
      </c>
      <c r="D137" s="12" t="s">
        <v>161</v>
      </c>
      <c r="E137" s="9"/>
      <c r="F137" s="9">
        <v>2.1417000000000002</v>
      </c>
      <c r="G137" s="9"/>
      <c r="H137" s="23" t="s">
        <v>26</v>
      </c>
      <c r="I137" s="23">
        <v>200</v>
      </c>
      <c r="J137" s="23">
        <v>428.34</v>
      </c>
      <c r="K137" s="12" t="s">
        <v>571</v>
      </c>
      <c r="L137" s="12" t="s">
        <v>572</v>
      </c>
      <c r="M137" s="23" t="s">
        <v>27</v>
      </c>
      <c r="N137" s="9">
        <v>28</v>
      </c>
      <c r="O137" s="9"/>
      <c r="P137" s="23" t="s">
        <v>37</v>
      </c>
      <c r="Q137" s="12"/>
      <c r="R137" s="9" t="s">
        <v>573</v>
      </c>
    </row>
    <row r="138" spans="1:19" x14ac:dyDescent="0.3">
      <c r="A138" s="9" t="s">
        <v>574</v>
      </c>
      <c r="B138" s="9" t="s">
        <v>25</v>
      </c>
      <c r="C138" s="12" t="s">
        <v>575</v>
      </c>
      <c r="D138" s="12" t="s">
        <v>161</v>
      </c>
      <c r="E138" s="9"/>
      <c r="F138" s="9">
        <v>0.52575000000000005</v>
      </c>
      <c r="G138" s="9"/>
      <c r="H138" s="23" t="s">
        <v>26</v>
      </c>
      <c r="I138" s="23">
        <v>400</v>
      </c>
      <c r="J138" s="23">
        <v>210.3</v>
      </c>
      <c r="K138" s="12" t="s">
        <v>421</v>
      </c>
      <c r="L138" s="12" t="s">
        <v>576</v>
      </c>
      <c r="M138" s="23" t="s">
        <v>27</v>
      </c>
      <c r="N138" s="9">
        <v>99</v>
      </c>
      <c r="O138" s="9"/>
      <c r="P138" s="23" t="s">
        <v>178</v>
      </c>
      <c r="Q138" s="12"/>
      <c r="R138" s="9" t="s">
        <v>577</v>
      </c>
    </row>
    <row r="139" spans="1:19" x14ac:dyDescent="0.3">
      <c r="A139" s="17" t="s">
        <v>876</v>
      </c>
      <c r="B139" s="17" t="s">
        <v>25</v>
      </c>
      <c r="C139" s="18" t="s">
        <v>578</v>
      </c>
      <c r="D139" s="18" t="s">
        <v>53</v>
      </c>
      <c r="E139" s="17"/>
      <c r="F139" s="17"/>
      <c r="G139" s="18"/>
      <c r="H139" s="24" t="s">
        <v>26</v>
      </c>
      <c r="I139" s="24"/>
      <c r="J139" s="24"/>
      <c r="K139" s="18"/>
      <c r="L139" s="18" t="s">
        <v>579</v>
      </c>
      <c r="M139" s="24"/>
      <c r="N139" s="17"/>
      <c r="O139" s="17"/>
      <c r="P139" s="24"/>
      <c r="Q139" s="18"/>
      <c r="R139" s="17" t="s">
        <v>580</v>
      </c>
    </row>
    <row r="140" spans="1:19" x14ac:dyDescent="0.3">
      <c r="A140" s="9" t="s">
        <v>581</v>
      </c>
      <c r="B140" s="9" t="s">
        <v>25</v>
      </c>
      <c r="C140" s="12" t="s">
        <v>582</v>
      </c>
      <c r="D140" s="12" t="s">
        <v>161</v>
      </c>
      <c r="E140" s="9"/>
      <c r="F140" s="9">
        <v>1.7387999999999999</v>
      </c>
      <c r="G140" s="9"/>
      <c r="H140" s="23" t="s">
        <v>26</v>
      </c>
      <c r="I140" s="23">
        <v>25</v>
      </c>
      <c r="J140" s="23">
        <v>43.47</v>
      </c>
      <c r="K140" s="12" t="s">
        <v>583</v>
      </c>
      <c r="L140" s="12" t="s">
        <v>584</v>
      </c>
      <c r="M140" s="23" t="s">
        <v>27</v>
      </c>
      <c r="N140" s="9">
        <v>23</v>
      </c>
      <c r="O140" s="9"/>
      <c r="P140" s="23" t="s">
        <v>585</v>
      </c>
      <c r="Q140" s="12"/>
      <c r="R140" s="9" t="s">
        <v>586</v>
      </c>
    </row>
    <row r="141" spans="1:19" x14ac:dyDescent="0.3">
      <c r="A141" s="9" t="s">
        <v>587</v>
      </c>
      <c r="B141" s="9" t="s">
        <v>25</v>
      </c>
      <c r="C141" s="12" t="s">
        <v>588</v>
      </c>
      <c r="D141" s="12" t="s">
        <v>53</v>
      </c>
      <c r="E141" s="9"/>
      <c r="F141" s="9">
        <v>0.10566</v>
      </c>
      <c r="G141" s="9"/>
      <c r="H141" s="23" t="s">
        <v>26</v>
      </c>
      <c r="I141" s="70">
        <v>1000</v>
      </c>
      <c r="J141" s="23">
        <v>105.66</v>
      </c>
      <c r="K141" s="12" t="s">
        <v>499</v>
      </c>
      <c r="L141" s="12" t="s">
        <v>589</v>
      </c>
      <c r="M141" s="23" t="s">
        <v>27</v>
      </c>
      <c r="N141" s="9">
        <v>14</v>
      </c>
      <c r="O141" s="9"/>
      <c r="P141" s="23" t="s">
        <v>395</v>
      </c>
      <c r="Q141" s="12"/>
      <c r="R141" s="9" t="s">
        <v>590</v>
      </c>
    </row>
    <row r="142" spans="1:19" x14ac:dyDescent="0.3">
      <c r="A142" s="20" t="s">
        <v>591</v>
      </c>
      <c r="B142" s="20" t="s">
        <v>111</v>
      </c>
      <c r="C142" s="21" t="s">
        <v>592</v>
      </c>
      <c r="D142" s="21" t="s">
        <v>53</v>
      </c>
      <c r="E142" s="20"/>
      <c r="F142" s="20">
        <v>1.7170000000000001E-2</v>
      </c>
      <c r="G142" s="20"/>
      <c r="H142" s="32" t="s">
        <v>26</v>
      </c>
      <c r="I142" s="72">
        <v>3000</v>
      </c>
      <c r="J142" s="32">
        <v>51.51</v>
      </c>
      <c r="K142" s="21" t="s">
        <v>114</v>
      </c>
      <c r="L142" s="21" t="s">
        <v>593</v>
      </c>
      <c r="M142" s="32" t="s">
        <v>27</v>
      </c>
      <c r="N142" s="20">
        <v>23</v>
      </c>
      <c r="O142" s="20"/>
      <c r="P142" s="32" t="s">
        <v>247</v>
      </c>
      <c r="Q142" s="21"/>
      <c r="R142" s="20" t="s">
        <v>594</v>
      </c>
    </row>
    <row r="143" spans="1:19" x14ac:dyDescent="0.3">
      <c r="A143" s="17" t="s">
        <v>595</v>
      </c>
      <c r="B143" s="17" t="s">
        <v>25</v>
      </c>
      <c r="C143" s="18" t="s">
        <v>596</v>
      </c>
      <c r="D143" s="18"/>
      <c r="E143" s="17"/>
      <c r="F143" s="17"/>
      <c r="G143" s="17"/>
      <c r="H143" s="24" t="s">
        <v>26</v>
      </c>
      <c r="I143" s="24"/>
      <c r="J143" s="24"/>
      <c r="K143" s="18"/>
      <c r="L143" s="18" t="s">
        <v>597</v>
      </c>
      <c r="M143" s="24"/>
      <c r="N143" s="17"/>
      <c r="O143" s="17"/>
      <c r="P143" s="24"/>
      <c r="Q143" s="18"/>
      <c r="R143" s="17" t="s">
        <v>598</v>
      </c>
    </row>
    <row r="144" spans="1:19" x14ac:dyDescent="0.3">
      <c r="A144" s="13" t="s">
        <v>888</v>
      </c>
      <c r="B144" s="13" t="s">
        <v>25</v>
      </c>
      <c r="C144" s="16" t="s">
        <v>599</v>
      </c>
      <c r="D144" s="16" t="s">
        <v>53</v>
      </c>
      <c r="E144" s="13"/>
      <c r="F144" s="13"/>
      <c r="G144" s="13"/>
      <c r="H144" s="43" t="s">
        <v>26</v>
      </c>
      <c r="I144" s="43"/>
      <c r="J144" s="43"/>
      <c r="K144" s="16"/>
      <c r="L144" s="16" t="s">
        <v>600</v>
      </c>
      <c r="M144" s="43"/>
      <c r="N144" s="13"/>
      <c r="O144" s="13"/>
      <c r="P144" s="43"/>
      <c r="Q144" s="16"/>
      <c r="R144" s="13" t="s">
        <v>601</v>
      </c>
    </row>
    <row r="145" spans="1:19" x14ac:dyDescent="0.3">
      <c r="A145" s="20" t="s">
        <v>602</v>
      </c>
      <c r="B145" s="20" t="s">
        <v>111</v>
      </c>
      <c r="C145" s="21" t="s">
        <v>603</v>
      </c>
      <c r="D145" s="21" t="s">
        <v>53</v>
      </c>
      <c r="E145" s="20"/>
      <c r="F145" s="20">
        <v>3.4413</v>
      </c>
      <c r="G145" s="20"/>
      <c r="H145" s="32" t="s">
        <v>26</v>
      </c>
      <c r="I145" s="32">
        <v>100</v>
      </c>
      <c r="J145" s="32">
        <v>344.13</v>
      </c>
      <c r="K145" s="21" t="s">
        <v>604</v>
      </c>
      <c r="L145" s="21" t="s">
        <v>605</v>
      </c>
      <c r="M145" s="32" t="s">
        <v>27</v>
      </c>
      <c r="N145" s="20">
        <v>10</v>
      </c>
      <c r="O145" s="20"/>
      <c r="P145" s="32" t="s">
        <v>209</v>
      </c>
      <c r="Q145" s="21"/>
      <c r="R145" s="20" t="s">
        <v>606</v>
      </c>
    </row>
    <row r="146" spans="1:19" x14ac:dyDescent="0.3">
      <c r="A146" s="20" t="s">
        <v>607</v>
      </c>
      <c r="B146" s="20" t="s">
        <v>111</v>
      </c>
      <c r="C146" s="21" t="s">
        <v>608</v>
      </c>
      <c r="D146" s="21" t="s">
        <v>161</v>
      </c>
      <c r="E146" s="20"/>
      <c r="F146" s="20">
        <v>2.2875999999999999</v>
      </c>
      <c r="G146" s="20"/>
      <c r="H146" s="32" t="s">
        <v>26</v>
      </c>
      <c r="I146" s="32">
        <v>200</v>
      </c>
      <c r="J146" s="32">
        <v>457.52</v>
      </c>
      <c r="K146" s="21" t="s">
        <v>609</v>
      </c>
      <c r="L146" s="21" t="s">
        <v>610</v>
      </c>
      <c r="M146" s="32" t="s">
        <v>27</v>
      </c>
      <c r="N146" s="20">
        <v>14</v>
      </c>
      <c r="O146" s="20"/>
      <c r="P146" s="32" t="s">
        <v>611</v>
      </c>
      <c r="Q146" s="21"/>
      <c r="R146" s="20" t="s">
        <v>612</v>
      </c>
    </row>
    <row r="147" spans="1:19" x14ac:dyDescent="0.3">
      <c r="A147" s="20" t="s">
        <v>613</v>
      </c>
      <c r="B147" s="20" t="s">
        <v>111</v>
      </c>
      <c r="C147" s="21" t="s">
        <v>614</v>
      </c>
      <c r="D147" s="21" t="s">
        <v>161</v>
      </c>
      <c r="E147" s="20"/>
      <c r="F147" s="20">
        <v>2.9579</v>
      </c>
      <c r="G147" s="20"/>
      <c r="H147" s="32" t="s">
        <v>26</v>
      </c>
      <c r="I147" s="32">
        <v>200</v>
      </c>
      <c r="J147" s="32">
        <v>591.58000000000004</v>
      </c>
      <c r="K147" s="21" t="s">
        <v>615</v>
      </c>
      <c r="L147" s="21" t="s">
        <v>616</v>
      </c>
      <c r="M147" s="32" t="s">
        <v>27</v>
      </c>
      <c r="N147" s="20">
        <v>24</v>
      </c>
      <c r="O147" s="20"/>
      <c r="P147" s="32" t="s">
        <v>178</v>
      </c>
      <c r="Q147" s="21"/>
      <c r="R147" s="20" t="s">
        <v>617</v>
      </c>
    </row>
    <row r="148" spans="1:19" x14ac:dyDescent="0.3">
      <c r="A148" s="20" t="s">
        <v>618</v>
      </c>
      <c r="B148" s="20" t="s">
        <v>111</v>
      </c>
      <c r="C148" s="21" t="s">
        <v>619</v>
      </c>
      <c r="D148" s="21" t="s">
        <v>53</v>
      </c>
      <c r="E148" s="20"/>
      <c r="F148" s="20">
        <v>2.71</v>
      </c>
      <c r="G148" s="20"/>
      <c r="H148" s="32" t="s">
        <v>26</v>
      </c>
      <c r="I148" s="32">
        <v>500</v>
      </c>
      <c r="J148" s="67">
        <v>1355</v>
      </c>
      <c r="K148" s="21" t="s">
        <v>620</v>
      </c>
      <c r="L148" s="21" t="s">
        <v>621</v>
      </c>
      <c r="M148" s="32" t="s">
        <v>27</v>
      </c>
      <c r="N148" s="20">
        <v>8</v>
      </c>
      <c r="O148" s="20"/>
      <c r="P148" s="32" t="s">
        <v>622</v>
      </c>
      <c r="Q148" s="21"/>
      <c r="R148" s="20" t="s">
        <v>623</v>
      </c>
    </row>
    <row r="149" spans="1:19" s="54" customFormat="1" x14ac:dyDescent="0.3">
      <c r="A149" s="9" t="s">
        <v>877</v>
      </c>
      <c r="B149" s="9" t="s">
        <v>25</v>
      </c>
      <c r="C149" s="12" t="s">
        <v>878</v>
      </c>
      <c r="D149" s="12" t="s">
        <v>161</v>
      </c>
      <c r="E149" s="9"/>
      <c r="F149" s="9">
        <v>3.0806399999999998</v>
      </c>
      <c r="G149" s="9"/>
      <c r="H149" s="23" t="s">
        <v>26</v>
      </c>
      <c r="I149" s="23">
        <v>250</v>
      </c>
      <c r="J149" s="23">
        <v>770.16</v>
      </c>
      <c r="K149" s="12" t="s">
        <v>38</v>
      </c>
      <c r="L149" s="12" t="s">
        <v>624</v>
      </c>
      <c r="M149" s="23" t="s">
        <v>27</v>
      </c>
      <c r="N149" s="9">
        <v>8</v>
      </c>
      <c r="O149" s="9"/>
      <c r="P149" s="23" t="s">
        <v>178</v>
      </c>
      <c r="Q149" s="12"/>
      <c r="R149" s="9" t="s">
        <v>625</v>
      </c>
      <c r="S149" s="2"/>
    </row>
    <row r="150" spans="1:19" x14ac:dyDescent="0.3">
      <c r="A150" s="20" t="s">
        <v>626</v>
      </c>
      <c r="B150" s="20" t="s">
        <v>111</v>
      </c>
      <c r="C150" s="21" t="s">
        <v>627</v>
      </c>
      <c r="D150" s="21" t="s">
        <v>161</v>
      </c>
      <c r="E150" s="20"/>
      <c r="F150" s="20">
        <v>0.14162</v>
      </c>
      <c r="G150" s="20"/>
      <c r="H150" s="32" t="s">
        <v>26</v>
      </c>
      <c r="I150" s="32">
        <v>500</v>
      </c>
      <c r="J150" s="32">
        <v>70.81</v>
      </c>
      <c r="K150" s="21" t="s">
        <v>615</v>
      </c>
      <c r="L150" s="21" t="s">
        <v>628</v>
      </c>
      <c r="M150" s="32" t="s">
        <v>27</v>
      </c>
      <c r="N150" s="20">
        <v>12</v>
      </c>
      <c r="O150" s="20"/>
      <c r="P150" s="32" t="s">
        <v>178</v>
      </c>
      <c r="Q150" s="21"/>
      <c r="R150" s="20" t="s">
        <v>629</v>
      </c>
    </row>
    <row r="151" spans="1:19" x14ac:dyDescent="0.3">
      <c r="A151" s="20" t="s">
        <v>630</v>
      </c>
      <c r="B151" s="20" t="s">
        <v>111</v>
      </c>
      <c r="C151" s="21" t="s">
        <v>631</v>
      </c>
      <c r="D151" s="21" t="s">
        <v>53</v>
      </c>
      <c r="E151" s="20"/>
      <c r="F151" s="20">
        <v>7.5999999999999998E-2</v>
      </c>
      <c r="G151" s="20"/>
      <c r="H151" s="32" t="s">
        <v>26</v>
      </c>
      <c r="I151" s="72">
        <v>5000</v>
      </c>
      <c r="J151" s="32">
        <v>380</v>
      </c>
      <c r="K151" s="21" t="s">
        <v>132</v>
      </c>
      <c r="L151" s="21" t="s">
        <v>632</v>
      </c>
      <c r="M151" s="32" t="s">
        <v>27</v>
      </c>
      <c r="N151" s="20">
        <v>11</v>
      </c>
      <c r="O151" s="20"/>
      <c r="P151" s="32" t="s">
        <v>134</v>
      </c>
      <c r="Q151" s="21"/>
      <c r="R151" s="20" t="s">
        <v>633</v>
      </c>
    </row>
    <row r="152" spans="1:19" x14ac:dyDescent="0.3">
      <c r="A152" s="85" t="s">
        <v>634</v>
      </c>
      <c r="B152" s="85" t="s">
        <v>111</v>
      </c>
      <c r="C152" s="73" t="s">
        <v>635</v>
      </c>
      <c r="D152" s="73" t="s">
        <v>161</v>
      </c>
      <c r="E152" s="85"/>
      <c r="F152" s="85"/>
      <c r="G152" s="85"/>
      <c r="H152" s="86" t="s">
        <v>26</v>
      </c>
      <c r="I152" s="86"/>
      <c r="J152" s="86"/>
      <c r="K152" s="73"/>
      <c r="L152" s="73" t="s">
        <v>636</v>
      </c>
      <c r="M152" s="86"/>
      <c r="N152" s="85"/>
      <c r="O152" s="85"/>
      <c r="P152" s="86"/>
      <c r="Q152" s="73"/>
      <c r="R152" s="85" t="s">
        <v>637</v>
      </c>
    </row>
    <row r="153" spans="1:19" s="16" customFormat="1" x14ac:dyDescent="0.3">
      <c r="A153" s="13" t="s">
        <v>879</v>
      </c>
      <c r="B153" s="13" t="s">
        <v>25</v>
      </c>
      <c r="C153" s="16" t="s">
        <v>880</v>
      </c>
      <c r="D153" s="16" t="s">
        <v>161</v>
      </c>
      <c r="H153" s="16" t="s">
        <v>26</v>
      </c>
      <c r="L153" s="16" t="s">
        <v>638</v>
      </c>
      <c r="R153" s="16" t="s">
        <v>639</v>
      </c>
      <c r="S153" s="97"/>
    </row>
    <row r="154" spans="1:19" x14ac:dyDescent="0.3">
      <c r="A154" s="82" t="s">
        <v>640</v>
      </c>
      <c r="B154" s="82" t="s">
        <v>25</v>
      </c>
      <c r="C154" s="83" t="s">
        <v>641</v>
      </c>
      <c r="D154" s="83" t="s">
        <v>53</v>
      </c>
      <c r="E154" s="82"/>
      <c r="F154" s="82"/>
      <c r="G154" s="82"/>
      <c r="H154" s="84" t="s">
        <v>26</v>
      </c>
      <c r="I154" s="84"/>
      <c r="J154" s="84"/>
      <c r="K154" s="83"/>
      <c r="L154" s="83" t="s">
        <v>642</v>
      </c>
      <c r="M154" s="84"/>
      <c r="N154" s="82"/>
      <c r="O154" s="82"/>
      <c r="P154" s="84"/>
      <c r="Q154" s="83"/>
      <c r="R154" s="82" t="s">
        <v>643</v>
      </c>
    </row>
    <row r="155" spans="1:19" x14ac:dyDescent="0.3">
      <c r="A155" s="9" t="s">
        <v>644</v>
      </c>
      <c r="B155" s="9" t="s">
        <v>25</v>
      </c>
      <c r="C155" s="12" t="s">
        <v>645</v>
      </c>
      <c r="D155" s="12" t="s">
        <v>161</v>
      </c>
      <c r="E155" s="9"/>
      <c r="F155" s="9">
        <v>2.9620000000000002</v>
      </c>
      <c r="G155" s="9"/>
      <c r="H155" s="23" t="s">
        <v>26</v>
      </c>
      <c r="I155" s="23">
        <v>25</v>
      </c>
      <c r="J155" s="23">
        <v>74.05</v>
      </c>
      <c r="K155" s="12" t="s">
        <v>646</v>
      </c>
      <c r="L155" s="12" t="s">
        <v>647</v>
      </c>
      <c r="M155" s="23" t="s">
        <v>27</v>
      </c>
      <c r="N155" s="9">
        <v>9</v>
      </c>
      <c r="O155" s="9"/>
      <c r="P155" s="23" t="s">
        <v>648</v>
      </c>
      <c r="Q155" s="12"/>
      <c r="R155" s="9">
        <v>512000</v>
      </c>
    </row>
    <row r="156" spans="1:19" x14ac:dyDescent="0.3">
      <c r="A156" s="9" t="s">
        <v>649</v>
      </c>
      <c r="B156" s="9" t="s">
        <v>25</v>
      </c>
      <c r="C156" s="12" t="s">
        <v>650</v>
      </c>
      <c r="D156" s="12"/>
      <c r="E156" s="9"/>
      <c r="F156" s="10">
        <v>2.16</v>
      </c>
      <c r="G156" s="11"/>
      <c r="H156" s="11" t="s">
        <v>26</v>
      </c>
      <c r="I156" s="11">
        <v>50</v>
      </c>
      <c r="J156" s="11">
        <v>108</v>
      </c>
      <c r="K156" s="11" t="s">
        <v>560</v>
      </c>
      <c r="L156" s="11" t="s">
        <v>651</v>
      </c>
      <c r="M156" s="11" t="s">
        <v>27</v>
      </c>
      <c r="N156" s="10">
        <v>16</v>
      </c>
      <c r="O156" s="9"/>
      <c r="P156" s="23" t="s">
        <v>562</v>
      </c>
      <c r="Q156" s="12"/>
      <c r="R156" s="9">
        <v>605028</v>
      </c>
    </row>
    <row r="157" spans="1:19" x14ac:dyDescent="0.3">
      <c r="A157" s="9" t="s">
        <v>652</v>
      </c>
      <c r="B157" s="9" t="s">
        <v>25</v>
      </c>
      <c r="C157" s="12" t="s">
        <v>653</v>
      </c>
      <c r="D157" s="12" t="s">
        <v>161</v>
      </c>
      <c r="E157" s="9"/>
      <c r="F157" s="9">
        <v>1.4E-2</v>
      </c>
      <c r="G157" s="9"/>
      <c r="H157" s="23" t="s">
        <v>26</v>
      </c>
      <c r="I157" s="23">
        <v>2000</v>
      </c>
      <c r="J157" s="23">
        <v>28</v>
      </c>
      <c r="K157" s="12" t="s">
        <v>339</v>
      </c>
      <c r="L157" s="12" t="s">
        <v>654</v>
      </c>
      <c r="M157" s="23" t="s">
        <v>223</v>
      </c>
      <c r="N157" s="9">
        <v>4</v>
      </c>
      <c r="O157" s="9"/>
      <c r="P157" s="23" t="s">
        <v>49</v>
      </c>
      <c r="Q157" s="12"/>
      <c r="R157" s="9">
        <v>610015</v>
      </c>
    </row>
    <row r="158" spans="1:19" x14ac:dyDescent="0.3">
      <c r="A158" s="9" t="s">
        <v>655</v>
      </c>
      <c r="B158" s="9" t="s">
        <v>25</v>
      </c>
      <c r="C158" s="12" t="s">
        <v>656</v>
      </c>
      <c r="D158" s="12" t="s">
        <v>161</v>
      </c>
      <c r="E158" s="9"/>
      <c r="F158" s="9">
        <v>1.4999999999999999E-2</v>
      </c>
      <c r="G158" s="9"/>
      <c r="H158" s="23" t="s">
        <v>26</v>
      </c>
      <c r="I158" s="23">
        <v>2000</v>
      </c>
      <c r="J158" s="23">
        <v>30</v>
      </c>
      <c r="K158" s="12" t="s">
        <v>339</v>
      </c>
      <c r="L158" s="12" t="s">
        <v>657</v>
      </c>
      <c r="M158" s="23" t="s">
        <v>223</v>
      </c>
      <c r="N158" s="9">
        <v>4</v>
      </c>
      <c r="O158" s="9"/>
      <c r="P158" s="23" t="s">
        <v>49</v>
      </c>
      <c r="Q158" s="12"/>
      <c r="R158" s="9">
        <v>610018</v>
      </c>
    </row>
    <row r="159" spans="1:19" x14ac:dyDescent="0.3">
      <c r="A159" s="9" t="s">
        <v>658</v>
      </c>
      <c r="B159" s="9" t="s">
        <v>25</v>
      </c>
      <c r="C159" s="12" t="s">
        <v>659</v>
      </c>
      <c r="D159" s="12" t="s">
        <v>161</v>
      </c>
      <c r="E159" s="9"/>
      <c r="F159" s="9">
        <v>0.01</v>
      </c>
      <c r="G159" s="9"/>
      <c r="H159" s="23" t="s">
        <v>26</v>
      </c>
      <c r="I159" s="23">
        <v>2000</v>
      </c>
      <c r="J159" s="23">
        <v>20</v>
      </c>
      <c r="K159" s="12" t="s">
        <v>339</v>
      </c>
      <c r="L159" s="44" t="s">
        <v>660</v>
      </c>
      <c r="M159" s="23" t="s">
        <v>223</v>
      </c>
      <c r="N159" s="9">
        <v>4</v>
      </c>
      <c r="O159" s="9"/>
      <c r="P159" s="23" t="s">
        <v>49</v>
      </c>
      <c r="Q159" s="12"/>
      <c r="R159" s="9">
        <v>616008</v>
      </c>
    </row>
    <row r="160" spans="1:19" x14ac:dyDescent="0.3">
      <c r="A160" s="20" t="s">
        <v>661</v>
      </c>
      <c r="B160" s="20" t="s">
        <v>111</v>
      </c>
      <c r="C160" s="21" t="s">
        <v>662</v>
      </c>
      <c r="D160" s="21" t="s">
        <v>161</v>
      </c>
      <c r="E160" s="20"/>
      <c r="F160" s="20">
        <v>0.01</v>
      </c>
      <c r="G160" s="20"/>
      <c r="H160" s="32" t="s">
        <v>26</v>
      </c>
      <c r="I160" s="32">
        <v>2000</v>
      </c>
      <c r="J160" s="32">
        <v>20</v>
      </c>
      <c r="K160" s="21" t="s">
        <v>339</v>
      </c>
      <c r="L160" s="21" t="s">
        <v>663</v>
      </c>
      <c r="M160" s="32" t="s">
        <v>223</v>
      </c>
      <c r="N160" s="20">
        <v>4</v>
      </c>
      <c r="O160" s="20"/>
      <c r="P160" s="32" t="s">
        <v>49</v>
      </c>
      <c r="Q160" s="21"/>
      <c r="R160" s="20">
        <v>619002</v>
      </c>
    </row>
    <row r="161" spans="1:19" x14ac:dyDescent="0.3">
      <c r="A161" s="9" t="s">
        <v>664</v>
      </c>
      <c r="B161" s="9" t="s">
        <v>25</v>
      </c>
      <c r="C161" s="12" t="s">
        <v>665</v>
      </c>
      <c r="D161" s="12" t="s">
        <v>161</v>
      </c>
      <c r="E161" s="9"/>
      <c r="F161" s="9">
        <v>1.2999999999999999E-2</v>
      </c>
      <c r="G161" s="9"/>
      <c r="H161" s="23" t="s">
        <v>26</v>
      </c>
      <c r="I161" s="23">
        <v>2000</v>
      </c>
      <c r="J161" s="23">
        <v>20</v>
      </c>
      <c r="K161" s="12" t="s">
        <v>339</v>
      </c>
      <c r="L161" s="12" t="s">
        <v>666</v>
      </c>
      <c r="M161" s="23" t="s">
        <v>223</v>
      </c>
      <c r="N161" s="9">
        <v>4</v>
      </c>
      <c r="O161" s="9"/>
      <c r="P161" s="23" t="s">
        <v>49</v>
      </c>
      <c r="Q161" s="12"/>
      <c r="R161" s="9">
        <v>619003</v>
      </c>
    </row>
    <row r="162" spans="1:19" x14ac:dyDescent="0.3">
      <c r="A162" s="9" t="s">
        <v>667</v>
      </c>
      <c r="B162" s="9" t="s">
        <v>25</v>
      </c>
      <c r="C162" s="12" t="s">
        <v>668</v>
      </c>
      <c r="D162" s="12" t="s">
        <v>161</v>
      </c>
      <c r="E162" s="9"/>
      <c r="F162" s="10">
        <v>1.2999999999999999E-2</v>
      </c>
      <c r="G162" s="11"/>
      <c r="H162" s="45" t="s">
        <v>26</v>
      </c>
      <c r="I162" s="23">
        <v>2000</v>
      </c>
      <c r="J162" s="11">
        <v>26</v>
      </c>
      <c r="K162" s="11" t="s">
        <v>339</v>
      </c>
      <c r="L162" s="11" t="s">
        <v>669</v>
      </c>
      <c r="M162" s="11" t="s">
        <v>223</v>
      </c>
      <c r="N162" s="10">
        <v>4</v>
      </c>
      <c r="O162" s="11"/>
      <c r="P162" s="46" t="s">
        <v>49</v>
      </c>
      <c r="Q162" s="12"/>
      <c r="R162" s="9">
        <v>619005</v>
      </c>
    </row>
    <row r="163" spans="1:19" x14ac:dyDescent="0.3">
      <c r="A163" s="9" t="s">
        <v>670</v>
      </c>
      <c r="B163" s="9" t="s">
        <v>25</v>
      </c>
      <c r="C163" s="12" t="s">
        <v>671</v>
      </c>
      <c r="D163" s="12"/>
      <c r="E163" s="9"/>
      <c r="F163" s="10">
        <v>1.321E-2</v>
      </c>
      <c r="G163" s="11"/>
      <c r="H163" s="11" t="s">
        <v>26</v>
      </c>
      <c r="I163" s="11"/>
      <c r="J163" s="11"/>
      <c r="K163" s="11" t="s">
        <v>57</v>
      </c>
      <c r="L163" s="11" t="s">
        <v>672</v>
      </c>
      <c r="M163" s="11" t="s">
        <v>27</v>
      </c>
      <c r="N163" s="10">
        <v>16</v>
      </c>
      <c r="O163" s="11"/>
      <c r="P163" s="40" t="s">
        <v>673</v>
      </c>
      <c r="Q163" s="12"/>
      <c r="R163" s="9">
        <v>619006</v>
      </c>
    </row>
    <row r="164" spans="1:19" x14ac:dyDescent="0.3">
      <c r="A164" s="13" t="s">
        <v>675</v>
      </c>
      <c r="B164" s="13" t="s">
        <v>25</v>
      </c>
      <c r="C164" s="16" t="s">
        <v>676</v>
      </c>
      <c r="D164" s="16" t="s">
        <v>161</v>
      </c>
      <c r="E164" s="13"/>
      <c r="F164" s="13"/>
      <c r="G164" s="13"/>
      <c r="H164" s="43" t="s">
        <v>26</v>
      </c>
      <c r="I164" s="43"/>
      <c r="J164" s="43"/>
      <c r="K164" s="16"/>
      <c r="L164" s="16" t="s">
        <v>677</v>
      </c>
      <c r="M164" s="43"/>
      <c r="N164" s="13"/>
      <c r="O164" s="13"/>
      <c r="P164" s="43"/>
      <c r="Q164" s="16"/>
      <c r="R164" s="13" t="s">
        <v>678</v>
      </c>
    </row>
    <row r="165" spans="1:19" x14ac:dyDescent="0.3">
      <c r="A165" s="20" t="s">
        <v>679</v>
      </c>
      <c r="B165" s="20" t="s">
        <v>111</v>
      </c>
      <c r="C165" s="21" t="s">
        <v>680</v>
      </c>
      <c r="D165" s="21" t="s">
        <v>53</v>
      </c>
      <c r="E165" s="20"/>
      <c r="F165" s="20">
        <v>1.3630500000000001</v>
      </c>
      <c r="G165" s="20"/>
      <c r="H165" s="32" t="s">
        <v>26</v>
      </c>
      <c r="I165" s="72">
        <v>2000</v>
      </c>
      <c r="J165" s="67">
        <v>2726.1</v>
      </c>
      <c r="K165" s="21" t="s">
        <v>681</v>
      </c>
      <c r="L165" s="21" t="s">
        <v>682</v>
      </c>
      <c r="M165" s="32" t="s">
        <v>27</v>
      </c>
      <c r="N165" s="20">
        <v>23</v>
      </c>
      <c r="O165" s="20"/>
      <c r="P165" s="32" t="s">
        <v>683</v>
      </c>
      <c r="Q165" s="21"/>
      <c r="R165" s="20" t="s">
        <v>684</v>
      </c>
    </row>
    <row r="166" spans="1:19" x14ac:dyDescent="0.3">
      <c r="A166" s="17" t="s">
        <v>685</v>
      </c>
      <c r="B166" s="17" t="s">
        <v>111</v>
      </c>
      <c r="C166" s="18" t="s">
        <v>686</v>
      </c>
      <c r="D166" s="18" t="s">
        <v>161</v>
      </c>
      <c r="E166" s="17"/>
      <c r="F166" s="17">
        <v>0.1817</v>
      </c>
      <c r="G166" s="17"/>
      <c r="H166" s="24" t="s">
        <v>26</v>
      </c>
      <c r="I166" s="24">
        <v>300</v>
      </c>
      <c r="J166" s="24">
        <v>54.51</v>
      </c>
      <c r="K166" s="18"/>
      <c r="L166" s="18"/>
      <c r="M166" s="24"/>
      <c r="N166" s="17"/>
      <c r="O166" s="17"/>
      <c r="P166" s="24"/>
      <c r="Q166" s="18"/>
      <c r="R166" s="17" t="s">
        <v>687</v>
      </c>
    </row>
    <row r="167" spans="1:19" x14ac:dyDescent="0.3">
      <c r="A167" s="9" t="s">
        <v>688</v>
      </c>
      <c r="B167" s="9" t="s">
        <v>25</v>
      </c>
      <c r="C167" s="12" t="s">
        <v>689</v>
      </c>
      <c r="D167" s="12" t="s">
        <v>161</v>
      </c>
      <c r="E167" s="9"/>
      <c r="F167" s="9">
        <v>0.1817</v>
      </c>
      <c r="G167" s="9"/>
      <c r="H167" s="23" t="s">
        <v>26</v>
      </c>
      <c r="I167" s="23">
        <v>300</v>
      </c>
      <c r="J167" s="23">
        <v>54.51</v>
      </c>
      <c r="K167" s="12" t="s">
        <v>120</v>
      </c>
      <c r="L167" s="12" t="s">
        <v>690</v>
      </c>
      <c r="M167" s="23" t="s">
        <v>27</v>
      </c>
      <c r="N167" s="9">
        <v>36</v>
      </c>
      <c r="O167" s="9"/>
      <c r="P167" s="23" t="s">
        <v>691</v>
      </c>
      <c r="Q167" s="12"/>
      <c r="R167" s="9">
        <v>420002</v>
      </c>
    </row>
    <row r="168" spans="1:19" x14ac:dyDescent="0.3">
      <c r="A168" s="20" t="s">
        <v>692</v>
      </c>
      <c r="B168" s="20" t="s">
        <v>111</v>
      </c>
      <c r="C168" s="21" t="s">
        <v>693</v>
      </c>
      <c r="D168" s="21" t="s">
        <v>161</v>
      </c>
      <c r="E168" s="20"/>
      <c r="F168" s="20">
        <v>0.36820000000000003</v>
      </c>
      <c r="G168" s="20"/>
      <c r="H168" s="32" t="s">
        <v>26</v>
      </c>
      <c r="I168" s="32">
        <v>50</v>
      </c>
      <c r="J168" s="32">
        <v>18.41</v>
      </c>
      <c r="K168" s="21" t="s">
        <v>120</v>
      </c>
      <c r="L168" s="21" t="s">
        <v>694</v>
      </c>
      <c r="M168" s="32" t="s">
        <v>27</v>
      </c>
      <c r="N168" s="20">
        <v>20</v>
      </c>
      <c r="O168" s="20"/>
      <c r="P168" s="32" t="s">
        <v>695</v>
      </c>
      <c r="Q168" s="21"/>
      <c r="R168" s="20">
        <v>420029</v>
      </c>
    </row>
    <row r="169" spans="1:19" s="54" customFormat="1" x14ac:dyDescent="0.3">
      <c r="A169" s="9" t="s">
        <v>881</v>
      </c>
      <c r="B169" s="9" t="s">
        <v>25</v>
      </c>
      <c r="C169" s="12" t="s">
        <v>882</v>
      </c>
      <c r="D169" s="12" t="s">
        <v>161</v>
      </c>
      <c r="E169" s="9"/>
      <c r="F169" s="9">
        <v>0.155</v>
      </c>
      <c r="G169" s="9"/>
      <c r="H169" s="23" t="s">
        <v>26</v>
      </c>
      <c r="I169" s="23">
        <v>60</v>
      </c>
      <c r="J169" s="23">
        <v>9.3000000000000007</v>
      </c>
      <c r="K169" s="12" t="s">
        <v>615</v>
      </c>
      <c r="L169" s="12" t="s">
        <v>696</v>
      </c>
      <c r="M169" s="23" t="s">
        <v>27</v>
      </c>
      <c r="N169" s="9">
        <v>4</v>
      </c>
      <c r="O169" s="9"/>
      <c r="P169" s="23" t="s">
        <v>178</v>
      </c>
      <c r="Q169" s="12"/>
      <c r="R169" s="9">
        <v>507000</v>
      </c>
      <c r="S169" s="2"/>
    </row>
    <row r="170" spans="1:19" x14ac:dyDescent="0.3">
      <c r="A170" s="9" t="s">
        <v>697</v>
      </c>
      <c r="B170" s="9" t="s">
        <v>25</v>
      </c>
      <c r="C170" s="11" t="s">
        <v>698</v>
      </c>
      <c r="D170" s="11"/>
      <c r="E170" s="11"/>
      <c r="F170" s="10">
        <v>1.47E-2</v>
      </c>
      <c r="G170" s="11"/>
      <c r="H170" s="11" t="s">
        <v>26</v>
      </c>
      <c r="I170" s="25">
        <v>5000</v>
      </c>
      <c r="J170" s="11">
        <v>73.5</v>
      </c>
      <c r="K170" s="11" t="s">
        <v>142</v>
      </c>
      <c r="L170" s="11" t="s">
        <v>699</v>
      </c>
      <c r="M170" s="11" t="s">
        <v>27</v>
      </c>
      <c r="N170" s="10" t="s">
        <v>700</v>
      </c>
      <c r="O170" s="11"/>
      <c r="P170" s="40" t="s">
        <v>673</v>
      </c>
      <c r="Q170" s="12"/>
      <c r="R170" s="9">
        <v>610005</v>
      </c>
    </row>
    <row r="171" spans="1:19" x14ac:dyDescent="0.3">
      <c r="A171" s="20" t="s">
        <v>701</v>
      </c>
      <c r="B171" s="20" t="s">
        <v>111</v>
      </c>
      <c r="C171" s="21" t="s">
        <v>702</v>
      </c>
      <c r="D171" s="21" t="s">
        <v>53</v>
      </c>
      <c r="E171" s="20"/>
      <c r="F171" s="20">
        <v>1.17906</v>
      </c>
      <c r="G171" s="20"/>
      <c r="H171" s="32" t="s">
        <v>26</v>
      </c>
      <c r="I171" s="72">
        <v>2000</v>
      </c>
      <c r="J171" s="67">
        <v>2358.12</v>
      </c>
      <c r="K171" s="21" t="s">
        <v>681</v>
      </c>
      <c r="L171" s="21" t="s">
        <v>703</v>
      </c>
      <c r="M171" s="32" t="s">
        <v>27</v>
      </c>
      <c r="N171" s="20">
        <v>19</v>
      </c>
      <c r="O171" s="20"/>
      <c r="P171" s="32" t="s">
        <v>683</v>
      </c>
      <c r="Q171" s="21"/>
      <c r="R171" s="20" t="s">
        <v>704</v>
      </c>
    </row>
    <row r="172" spans="1:19" x14ac:dyDescent="0.3">
      <c r="A172" s="20" t="s">
        <v>705</v>
      </c>
      <c r="B172" s="20" t="s">
        <v>111</v>
      </c>
      <c r="C172" s="21" t="s">
        <v>706</v>
      </c>
      <c r="D172" s="21" t="s">
        <v>53</v>
      </c>
      <c r="E172" s="20"/>
      <c r="F172" s="20">
        <v>7.0999999999999994E-2</v>
      </c>
      <c r="G172" s="20"/>
      <c r="H172" s="32" t="s">
        <v>26</v>
      </c>
      <c r="I172" s="72">
        <v>1800</v>
      </c>
      <c r="J172" s="32">
        <v>127.8</v>
      </c>
      <c r="K172" s="21" t="s">
        <v>707</v>
      </c>
      <c r="L172" s="21" t="s">
        <v>708</v>
      </c>
      <c r="M172" s="32" t="s">
        <v>27</v>
      </c>
      <c r="N172" s="20">
        <v>15</v>
      </c>
      <c r="O172" s="20"/>
      <c r="P172" s="32" t="s">
        <v>134</v>
      </c>
      <c r="Q172" s="21"/>
      <c r="R172" s="20" t="s">
        <v>709</v>
      </c>
    </row>
    <row r="173" spans="1:19" x14ac:dyDescent="0.3">
      <c r="A173" s="9" t="s">
        <v>710</v>
      </c>
      <c r="B173" s="9" t="s">
        <v>25</v>
      </c>
      <c r="C173" s="12" t="s">
        <v>711</v>
      </c>
      <c r="D173" s="12" t="s">
        <v>53</v>
      </c>
      <c r="E173" s="9"/>
      <c r="F173" s="9">
        <v>0.56340000000000001</v>
      </c>
      <c r="G173" s="9"/>
      <c r="H173" s="23" t="s">
        <v>26</v>
      </c>
      <c r="I173" s="23">
        <v>50</v>
      </c>
      <c r="J173" s="23">
        <v>28.17</v>
      </c>
      <c r="K173" s="12" t="s">
        <v>114</v>
      </c>
      <c r="L173" s="12" t="s">
        <v>712</v>
      </c>
      <c r="M173" s="23" t="s">
        <v>27</v>
      </c>
      <c r="N173" s="9">
        <v>15</v>
      </c>
      <c r="O173" s="9"/>
      <c r="P173" s="23" t="s">
        <v>683</v>
      </c>
      <c r="Q173" s="12"/>
      <c r="R173" s="9" t="s">
        <v>713</v>
      </c>
    </row>
    <row r="174" spans="1:19" x14ac:dyDescent="0.3">
      <c r="A174" s="9" t="s">
        <v>714</v>
      </c>
      <c r="B174" s="9" t="s">
        <v>25</v>
      </c>
      <c r="C174" s="12" t="s">
        <v>715</v>
      </c>
      <c r="D174" s="12"/>
      <c r="E174" s="9"/>
      <c r="F174" s="9">
        <v>0.01</v>
      </c>
      <c r="G174" s="9"/>
      <c r="H174" s="23" t="s">
        <v>26</v>
      </c>
      <c r="I174" s="23">
        <v>2000</v>
      </c>
      <c r="J174" s="23">
        <v>20</v>
      </c>
      <c r="K174" s="12" t="s">
        <v>339</v>
      </c>
      <c r="L174" s="12" t="s">
        <v>716</v>
      </c>
      <c r="M174" s="23" t="s">
        <v>223</v>
      </c>
      <c r="N174" s="9">
        <v>4</v>
      </c>
      <c r="O174" s="9"/>
      <c r="P174" s="23" t="s">
        <v>49</v>
      </c>
      <c r="Q174" s="12"/>
      <c r="R174" s="9">
        <v>619001</v>
      </c>
    </row>
    <row r="175" spans="1:19" x14ac:dyDescent="0.3">
      <c r="A175" s="17" t="s">
        <v>717</v>
      </c>
      <c r="B175" s="17" t="s">
        <v>25</v>
      </c>
      <c r="C175" s="18" t="s">
        <v>718</v>
      </c>
      <c r="D175" s="18" t="s">
        <v>53</v>
      </c>
      <c r="E175" s="17"/>
      <c r="F175" s="17"/>
      <c r="G175" s="17"/>
      <c r="H175" s="24" t="s">
        <v>26</v>
      </c>
      <c r="I175" s="24"/>
      <c r="J175" s="24"/>
      <c r="K175" s="18"/>
      <c r="L175" s="18" t="s">
        <v>719</v>
      </c>
      <c r="M175" s="24"/>
      <c r="N175" s="17"/>
      <c r="O175" s="17"/>
      <c r="P175" s="24"/>
      <c r="Q175" s="18"/>
      <c r="R175" s="17" t="s">
        <v>719</v>
      </c>
    </row>
    <row r="176" spans="1:19" x14ac:dyDescent="0.3">
      <c r="A176" s="17" t="s">
        <v>720</v>
      </c>
      <c r="B176" s="17" t="s">
        <v>111</v>
      </c>
      <c r="C176" s="18" t="s">
        <v>721</v>
      </c>
      <c r="D176" s="18" t="s">
        <v>161</v>
      </c>
      <c r="E176" s="17"/>
      <c r="F176" s="17"/>
      <c r="G176" s="17"/>
      <c r="H176" s="24" t="s">
        <v>26</v>
      </c>
      <c r="I176" s="24"/>
      <c r="J176" s="24"/>
      <c r="K176" s="18"/>
      <c r="L176" s="18"/>
      <c r="M176" s="24"/>
      <c r="N176" s="17"/>
      <c r="O176" s="17"/>
      <c r="P176" s="24"/>
      <c r="Q176" s="18"/>
      <c r="R176" s="17" t="s">
        <v>722</v>
      </c>
    </row>
    <row r="177" spans="1:70" x14ac:dyDescent="0.3">
      <c r="A177" s="17" t="s">
        <v>723</v>
      </c>
      <c r="B177" s="17" t="s">
        <v>25</v>
      </c>
      <c r="C177" s="18" t="s">
        <v>724</v>
      </c>
      <c r="D177" s="18" t="s">
        <v>161</v>
      </c>
      <c r="E177" s="17"/>
      <c r="F177" s="17"/>
      <c r="G177" s="17"/>
      <c r="H177" s="24" t="s">
        <v>26</v>
      </c>
      <c r="I177" s="24"/>
      <c r="J177" s="24"/>
      <c r="K177" s="18"/>
      <c r="L177" s="18" t="s">
        <v>725</v>
      </c>
      <c r="M177" s="24"/>
      <c r="N177" s="17"/>
      <c r="O177" s="17"/>
      <c r="P177" s="24"/>
      <c r="Q177" s="18"/>
      <c r="R177" s="17" t="s">
        <v>726</v>
      </c>
    </row>
    <row r="178" spans="1:70" x14ac:dyDescent="0.3">
      <c r="A178" s="9" t="s">
        <v>727</v>
      </c>
      <c r="B178" s="9" t="s">
        <v>25</v>
      </c>
      <c r="C178" s="12" t="s">
        <v>728</v>
      </c>
      <c r="D178" s="12" t="s">
        <v>161</v>
      </c>
      <c r="E178" s="9"/>
      <c r="F178" s="9">
        <v>0.52270000000000005</v>
      </c>
      <c r="G178" s="9"/>
      <c r="H178" s="23" t="s">
        <v>26</v>
      </c>
      <c r="I178" s="23">
        <v>200</v>
      </c>
      <c r="J178" s="23">
        <v>104.54</v>
      </c>
      <c r="K178" s="12" t="s">
        <v>729</v>
      </c>
      <c r="L178" s="12" t="s">
        <v>730</v>
      </c>
      <c r="M178" s="23" t="s">
        <v>27</v>
      </c>
      <c r="N178" s="9">
        <v>16</v>
      </c>
      <c r="O178" s="9"/>
      <c r="P178" s="23" t="s">
        <v>178</v>
      </c>
      <c r="Q178" s="12"/>
      <c r="R178" s="9" t="s">
        <v>731</v>
      </c>
    </row>
    <row r="179" spans="1:70" x14ac:dyDescent="0.3">
      <c r="A179" s="9" t="s">
        <v>732</v>
      </c>
      <c r="B179" s="9" t="s">
        <v>25</v>
      </c>
      <c r="C179" s="12" t="s">
        <v>733</v>
      </c>
      <c r="D179" s="12" t="s">
        <v>161</v>
      </c>
      <c r="E179" s="9"/>
      <c r="F179" s="9">
        <v>1.14496</v>
      </c>
      <c r="G179" s="9"/>
      <c r="H179" s="23" t="s">
        <v>26</v>
      </c>
      <c r="I179" s="23">
        <v>500</v>
      </c>
      <c r="J179" s="23">
        <v>572.48</v>
      </c>
      <c r="K179" s="12" t="s">
        <v>447</v>
      </c>
      <c r="L179" s="12" t="s">
        <v>734</v>
      </c>
      <c r="M179" s="23" t="s">
        <v>27</v>
      </c>
      <c r="N179" s="9">
        <v>17</v>
      </c>
      <c r="O179" s="9"/>
      <c r="P179" s="23" t="s">
        <v>735</v>
      </c>
      <c r="Q179" s="12"/>
      <c r="R179" s="9">
        <v>434033</v>
      </c>
    </row>
    <row r="180" spans="1:70" x14ac:dyDescent="0.3">
      <c r="A180" s="9" t="s">
        <v>736</v>
      </c>
      <c r="B180" s="9" t="s">
        <v>25</v>
      </c>
      <c r="C180" s="12" t="s">
        <v>737</v>
      </c>
      <c r="D180" s="12" t="s">
        <v>53</v>
      </c>
      <c r="E180" s="9"/>
      <c r="F180" s="9">
        <v>9.9599999999999994E-2</v>
      </c>
      <c r="G180" s="9"/>
      <c r="H180" s="23" t="s">
        <v>26</v>
      </c>
      <c r="I180" s="23" t="s">
        <v>738</v>
      </c>
      <c r="J180" s="23"/>
      <c r="K180" s="12" t="s">
        <v>739</v>
      </c>
      <c r="L180" s="12" t="s">
        <v>740</v>
      </c>
      <c r="M180" s="23" t="s">
        <v>741</v>
      </c>
      <c r="N180" s="9">
        <v>99</v>
      </c>
      <c r="O180" s="9"/>
      <c r="P180" s="23" t="s">
        <v>224</v>
      </c>
      <c r="Q180" s="12"/>
      <c r="R180" s="9" t="s">
        <v>742</v>
      </c>
    </row>
    <row r="181" spans="1:70" x14ac:dyDescent="0.3">
      <c r="A181" s="9" t="s">
        <v>743</v>
      </c>
      <c r="B181" s="9" t="s">
        <v>25</v>
      </c>
      <c r="C181" s="12" t="s">
        <v>744</v>
      </c>
      <c r="D181" s="12" t="s">
        <v>53</v>
      </c>
      <c r="E181" s="9"/>
      <c r="F181" s="9">
        <v>1.5028999999999999</v>
      </c>
      <c r="G181" s="9"/>
      <c r="H181" s="23" t="s">
        <v>26</v>
      </c>
      <c r="I181" s="70">
        <v>3300</v>
      </c>
      <c r="J181" s="68">
        <v>4959.57</v>
      </c>
      <c r="K181" s="12" t="s">
        <v>745</v>
      </c>
      <c r="L181" s="12" t="s">
        <v>746</v>
      </c>
      <c r="M181" s="23" t="s">
        <v>27</v>
      </c>
      <c r="N181" s="9">
        <v>4</v>
      </c>
      <c r="O181" s="9"/>
      <c r="P181" s="23" t="s">
        <v>747</v>
      </c>
      <c r="Q181" s="12"/>
      <c r="R181" s="9" t="s">
        <v>748</v>
      </c>
    </row>
    <row r="182" spans="1:70" s="57" customFormat="1" x14ac:dyDescent="0.3">
      <c r="A182" s="20" t="s">
        <v>902</v>
      </c>
      <c r="B182" s="20" t="s">
        <v>111</v>
      </c>
      <c r="C182" s="21" t="s">
        <v>749</v>
      </c>
      <c r="D182" s="21" t="s">
        <v>53</v>
      </c>
      <c r="E182" s="20"/>
      <c r="F182" s="20">
        <v>4.2229999999999997E-2</v>
      </c>
      <c r="G182" s="20"/>
      <c r="H182" s="32" t="s">
        <v>26</v>
      </c>
      <c r="I182" s="72">
        <v>2000</v>
      </c>
      <c r="J182" s="32">
        <v>84.46</v>
      </c>
      <c r="K182" s="21" t="s">
        <v>447</v>
      </c>
      <c r="L182" s="21" t="s">
        <v>750</v>
      </c>
      <c r="M182" s="32" t="s">
        <v>27</v>
      </c>
      <c r="N182" s="20">
        <v>12</v>
      </c>
      <c r="O182" s="20"/>
      <c r="P182" s="32" t="s">
        <v>58</v>
      </c>
      <c r="Q182" s="21"/>
      <c r="R182" s="20" t="s">
        <v>751</v>
      </c>
      <c r="S182" s="2"/>
    </row>
    <row r="183" spans="1:70" x14ac:dyDescent="0.3">
      <c r="A183" s="9" t="s">
        <v>752</v>
      </c>
      <c r="B183" s="9" t="s">
        <v>25</v>
      </c>
      <c r="C183" s="12" t="s">
        <v>753</v>
      </c>
      <c r="D183" s="12" t="s">
        <v>161</v>
      </c>
      <c r="E183" s="9"/>
      <c r="F183" s="9">
        <v>6.7580000000000001E-2</v>
      </c>
      <c r="G183" s="9"/>
      <c r="H183" s="23" t="s">
        <v>26</v>
      </c>
      <c r="I183" s="70">
        <v>5000</v>
      </c>
      <c r="J183" s="23">
        <v>337.9</v>
      </c>
      <c r="K183" s="12" t="s">
        <v>120</v>
      </c>
      <c r="L183" s="12" t="s">
        <v>754</v>
      </c>
      <c r="M183" s="23" t="s">
        <v>27</v>
      </c>
      <c r="N183" s="9">
        <v>36</v>
      </c>
      <c r="O183" s="9"/>
      <c r="P183" s="23" t="s">
        <v>691</v>
      </c>
      <c r="Q183" s="12"/>
      <c r="R183" s="9">
        <v>420001</v>
      </c>
    </row>
    <row r="184" spans="1:70" x14ac:dyDescent="0.3">
      <c r="A184" s="48" t="s">
        <v>755</v>
      </c>
      <c r="B184" s="48" t="s">
        <v>111</v>
      </c>
      <c r="C184" s="47" t="s">
        <v>756</v>
      </c>
      <c r="D184" s="47" t="s">
        <v>161</v>
      </c>
      <c r="E184" s="48"/>
      <c r="F184" s="48"/>
      <c r="G184" s="48"/>
      <c r="H184" s="49" t="s">
        <v>26</v>
      </c>
      <c r="I184" s="49"/>
      <c r="J184" s="49"/>
      <c r="K184" s="47"/>
      <c r="L184" s="47"/>
      <c r="M184" s="49" t="s">
        <v>27</v>
      </c>
      <c r="N184" s="48"/>
      <c r="O184" s="48"/>
      <c r="P184" s="49"/>
      <c r="Q184" s="47"/>
      <c r="R184" s="48" t="s">
        <v>757</v>
      </c>
    </row>
    <row r="185" spans="1:70" customFormat="1" x14ac:dyDescent="0.3">
      <c r="A185" s="80" t="s">
        <v>758</v>
      </c>
      <c r="B185" s="58" t="s">
        <v>25</v>
      </c>
      <c r="C185" s="23" t="s">
        <v>759</v>
      </c>
      <c r="D185" s="45"/>
      <c r="E185" s="45"/>
      <c r="F185" s="58">
        <v>0.26446999999999998</v>
      </c>
      <c r="G185" s="45"/>
      <c r="H185" s="45" t="s">
        <v>26</v>
      </c>
      <c r="I185" s="45"/>
      <c r="J185" s="45"/>
      <c r="K185" s="45" t="s">
        <v>114</v>
      </c>
      <c r="L185" s="45" t="s">
        <v>760</v>
      </c>
      <c r="M185" s="23" t="s">
        <v>27</v>
      </c>
      <c r="N185" s="58">
        <v>15</v>
      </c>
      <c r="O185" s="45"/>
      <c r="P185" s="45" t="s">
        <v>761</v>
      </c>
      <c r="Q185" s="11"/>
      <c r="R185" s="9" t="s">
        <v>770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spans="1:70" x14ac:dyDescent="0.3">
      <c r="A186" s="9" t="s">
        <v>762</v>
      </c>
      <c r="B186" s="9" t="s">
        <v>25</v>
      </c>
      <c r="C186" s="12" t="s">
        <v>763</v>
      </c>
      <c r="D186" s="9"/>
      <c r="E186" s="9"/>
      <c r="F186" s="9">
        <v>5.151E-2</v>
      </c>
      <c r="G186" s="9"/>
      <c r="H186" s="23" t="s">
        <v>26</v>
      </c>
      <c r="I186" s="23"/>
      <c r="J186" s="23"/>
      <c r="K186" s="12" t="s">
        <v>207</v>
      </c>
      <c r="L186" s="23" t="s">
        <v>764</v>
      </c>
      <c r="M186" s="23" t="s">
        <v>27</v>
      </c>
      <c r="N186" s="9">
        <v>12</v>
      </c>
      <c r="O186" s="9"/>
      <c r="P186" s="23" t="s">
        <v>209</v>
      </c>
      <c r="Q186" s="12"/>
      <c r="R186" s="9" t="s">
        <v>769</v>
      </c>
    </row>
    <row r="187" spans="1:70" customFormat="1" x14ac:dyDescent="0.3">
      <c r="A187" s="80" t="s">
        <v>765</v>
      </c>
      <c r="B187" s="58" t="s">
        <v>25</v>
      </c>
      <c r="C187" s="23" t="s">
        <v>766</v>
      </c>
      <c r="D187" s="45"/>
      <c r="E187" s="45"/>
      <c r="F187" s="58">
        <v>0.43484</v>
      </c>
      <c r="G187" s="45"/>
      <c r="H187" s="45" t="s">
        <v>26</v>
      </c>
      <c r="I187" s="45"/>
      <c r="J187" s="45"/>
      <c r="K187" s="45" t="s">
        <v>207</v>
      </c>
      <c r="L187" s="45" t="s">
        <v>767</v>
      </c>
      <c r="M187" s="45" t="s">
        <v>27</v>
      </c>
      <c r="N187" s="58">
        <v>12</v>
      </c>
      <c r="O187" s="45"/>
      <c r="P187" s="45" t="s">
        <v>209</v>
      </c>
      <c r="Q187" s="11"/>
      <c r="R187" s="9" t="s">
        <v>768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spans="1:70" customFormat="1" x14ac:dyDescent="0.3">
      <c r="A188" s="80" t="s">
        <v>771</v>
      </c>
      <c r="B188" s="58" t="s">
        <v>25</v>
      </c>
      <c r="C188" s="23" t="s">
        <v>772</v>
      </c>
      <c r="D188" s="45"/>
      <c r="E188" s="45"/>
      <c r="F188" s="58">
        <v>0.18304999999999999</v>
      </c>
      <c r="G188" s="45"/>
      <c r="H188" s="45" t="s">
        <v>26</v>
      </c>
      <c r="I188" s="45"/>
      <c r="J188" s="45"/>
      <c r="K188" s="45" t="s">
        <v>114</v>
      </c>
      <c r="L188" s="45" t="s">
        <v>773</v>
      </c>
      <c r="M188" s="45" t="s">
        <v>27</v>
      </c>
      <c r="N188" s="58">
        <v>8</v>
      </c>
      <c r="O188" s="45"/>
      <c r="P188" s="45" t="s">
        <v>378</v>
      </c>
      <c r="Q188" s="11"/>
      <c r="R188" s="9" t="s">
        <v>774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spans="1:70" customFormat="1" x14ac:dyDescent="0.3">
      <c r="A189" s="80" t="s">
        <v>775</v>
      </c>
      <c r="B189" s="58" t="s">
        <v>25</v>
      </c>
      <c r="C189" s="23" t="s">
        <v>776</v>
      </c>
      <c r="D189" s="45"/>
      <c r="E189" s="45"/>
      <c r="F189" s="58">
        <v>2.1305999999999998</v>
      </c>
      <c r="G189" s="45"/>
      <c r="H189" s="45" t="s">
        <v>26</v>
      </c>
      <c r="I189" s="45"/>
      <c r="J189" s="45"/>
      <c r="K189" s="45" t="s">
        <v>207</v>
      </c>
      <c r="L189" s="45" t="s">
        <v>777</v>
      </c>
      <c r="M189" s="45" t="s">
        <v>27</v>
      </c>
      <c r="N189" s="58">
        <v>12</v>
      </c>
      <c r="O189" s="45"/>
      <c r="P189" s="45" t="s">
        <v>209</v>
      </c>
      <c r="Q189" s="11"/>
      <c r="R189" s="9" t="s">
        <v>778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spans="1:70" x14ac:dyDescent="0.3">
      <c r="A190" s="9" t="s">
        <v>779</v>
      </c>
      <c r="B190" s="9" t="s">
        <v>25</v>
      </c>
      <c r="C190" s="12" t="s">
        <v>780</v>
      </c>
      <c r="D190" s="9"/>
      <c r="E190" s="9"/>
      <c r="F190" s="9">
        <v>1.08162</v>
      </c>
      <c r="G190" s="9"/>
      <c r="H190" s="23" t="s">
        <v>26</v>
      </c>
      <c r="I190" s="23"/>
      <c r="J190" s="23"/>
      <c r="K190" s="12" t="s">
        <v>207</v>
      </c>
      <c r="L190" s="23" t="s">
        <v>781</v>
      </c>
      <c r="M190" s="23" t="s">
        <v>27</v>
      </c>
      <c r="N190" s="9">
        <v>12</v>
      </c>
      <c r="O190" s="9"/>
      <c r="P190" s="23" t="s">
        <v>209</v>
      </c>
      <c r="Q190" s="12"/>
      <c r="R190" s="9" t="s">
        <v>782</v>
      </c>
    </row>
    <row r="191" spans="1:70" s="54" customFormat="1" x14ac:dyDescent="0.3">
      <c r="A191" s="9" t="s">
        <v>783</v>
      </c>
      <c r="B191" s="50" t="s">
        <v>25</v>
      </c>
      <c r="C191" s="51" t="s">
        <v>784</v>
      </c>
      <c r="D191" s="51"/>
      <c r="E191" s="51"/>
      <c r="F191" s="50">
        <v>1.321E-2</v>
      </c>
      <c r="G191" s="51"/>
      <c r="H191" s="52" t="s">
        <v>26</v>
      </c>
      <c r="I191" s="52"/>
      <c r="J191" s="52"/>
      <c r="K191" s="51" t="s">
        <v>57</v>
      </c>
      <c r="L191" s="51" t="s">
        <v>785</v>
      </c>
      <c r="M191" s="11" t="s">
        <v>27</v>
      </c>
      <c r="N191" s="50">
        <v>16</v>
      </c>
      <c r="O191" s="52"/>
      <c r="P191" s="52" t="s">
        <v>673</v>
      </c>
      <c r="Q191" s="53"/>
      <c r="R191" s="50">
        <v>610016</v>
      </c>
      <c r="S191" s="6"/>
      <c r="T191" s="6"/>
      <c r="U191" s="6"/>
      <c r="V191" s="6"/>
      <c r="W191" s="6"/>
      <c r="X191" s="7"/>
      <c r="Y191" s="6"/>
      <c r="Z191" s="6"/>
      <c r="AA191" s="6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spans="1:70" customFormat="1" x14ac:dyDescent="0.3">
      <c r="A192" s="80" t="s">
        <v>786</v>
      </c>
      <c r="B192" s="58" t="s">
        <v>25</v>
      </c>
      <c r="C192" s="45" t="s">
        <v>787</v>
      </c>
      <c r="D192" s="45"/>
      <c r="E192" s="45"/>
      <c r="F192" s="58">
        <v>0.14810999999999999</v>
      </c>
      <c r="G192" s="45"/>
      <c r="H192" s="45" t="s">
        <v>26</v>
      </c>
      <c r="I192" s="45"/>
      <c r="J192" s="45"/>
      <c r="K192" s="45" t="s">
        <v>114</v>
      </c>
      <c r="L192" s="45" t="s">
        <v>788</v>
      </c>
      <c r="M192" s="45" t="s">
        <v>27</v>
      </c>
      <c r="N192" s="58">
        <v>9</v>
      </c>
      <c r="O192" s="45"/>
      <c r="P192" s="45" t="s">
        <v>789</v>
      </c>
      <c r="Q192" s="11"/>
      <c r="R192" s="9" t="s">
        <v>790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spans="1:70" customFormat="1" x14ac:dyDescent="0.3">
      <c r="A193" s="80" t="s">
        <v>791</v>
      </c>
      <c r="B193" s="58" t="s">
        <v>25</v>
      </c>
      <c r="C193" s="23" t="s">
        <v>792</v>
      </c>
      <c r="D193" s="45"/>
      <c r="E193" s="45"/>
      <c r="F193" s="58">
        <v>1.65</v>
      </c>
      <c r="G193" s="45"/>
      <c r="H193" s="45" t="s">
        <v>26</v>
      </c>
      <c r="I193" s="45"/>
      <c r="J193" s="45"/>
      <c r="K193" s="45" t="s">
        <v>745</v>
      </c>
      <c r="L193" s="45" t="s">
        <v>793</v>
      </c>
      <c r="M193" s="45" t="s">
        <v>27</v>
      </c>
      <c r="N193" s="58">
        <v>7</v>
      </c>
      <c r="O193" s="45"/>
      <c r="P193" s="45" t="s">
        <v>378</v>
      </c>
      <c r="Q193" s="11"/>
      <c r="R193" s="9" t="s">
        <v>794</v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spans="1:70" x14ac:dyDescent="0.3">
      <c r="A194" s="9" t="s">
        <v>795</v>
      </c>
      <c r="B194" s="9" t="s">
        <v>25</v>
      </c>
      <c r="C194" s="12" t="s">
        <v>796</v>
      </c>
      <c r="D194" s="9"/>
      <c r="E194" s="9"/>
      <c r="F194" s="9">
        <v>1.41001</v>
      </c>
      <c r="G194" s="9"/>
      <c r="H194" s="23" t="s">
        <v>26</v>
      </c>
      <c r="I194" s="23"/>
      <c r="J194" s="23"/>
      <c r="K194" s="12" t="s">
        <v>745</v>
      </c>
      <c r="L194" s="23" t="s">
        <v>797</v>
      </c>
      <c r="M194" s="23" t="s">
        <v>27</v>
      </c>
      <c r="N194" s="9">
        <v>6</v>
      </c>
      <c r="O194" s="9"/>
      <c r="P194" s="23" t="s">
        <v>798</v>
      </c>
      <c r="Q194" s="12"/>
      <c r="R194" s="9" t="s">
        <v>799</v>
      </c>
    </row>
    <row r="195" spans="1:70" x14ac:dyDescent="0.3">
      <c r="A195" s="9" t="s">
        <v>800</v>
      </c>
      <c r="B195" s="9" t="s">
        <v>25</v>
      </c>
      <c r="C195" s="12" t="s">
        <v>801</v>
      </c>
      <c r="D195" s="9"/>
      <c r="E195" s="9"/>
      <c r="F195" s="9">
        <v>0.20125999999999999</v>
      </c>
      <c r="G195" s="9"/>
      <c r="H195" s="23" t="s">
        <v>26</v>
      </c>
      <c r="I195" s="23"/>
      <c r="J195" s="23"/>
      <c r="K195" s="12" t="s">
        <v>802</v>
      </c>
      <c r="L195" s="23" t="s">
        <v>803</v>
      </c>
      <c r="M195" s="23" t="s">
        <v>27</v>
      </c>
      <c r="N195" s="9" t="s">
        <v>804</v>
      </c>
      <c r="O195" s="9"/>
      <c r="P195" s="23" t="s">
        <v>209</v>
      </c>
      <c r="Q195" s="12"/>
      <c r="R195" s="9" t="s">
        <v>805</v>
      </c>
    </row>
    <row r="196" spans="1:70" x14ac:dyDescent="0.3">
      <c r="A196" s="9" t="s">
        <v>806</v>
      </c>
      <c r="B196" s="9" t="s">
        <v>25</v>
      </c>
      <c r="C196" s="12" t="s">
        <v>807</v>
      </c>
      <c r="D196" s="9"/>
      <c r="E196" s="9"/>
      <c r="F196" s="9">
        <v>0.18473999999999999</v>
      </c>
      <c r="G196" s="9"/>
      <c r="H196" s="23" t="s">
        <v>26</v>
      </c>
      <c r="I196" s="23"/>
      <c r="J196" s="23"/>
      <c r="K196" s="12" t="s">
        <v>114</v>
      </c>
      <c r="L196" s="23" t="s">
        <v>808</v>
      </c>
      <c r="M196" s="23" t="s">
        <v>27</v>
      </c>
      <c r="N196" s="9">
        <v>8</v>
      </c>
      <c r="O196" s="9"/>
      <c r="P196" s="23" t="s">
        <v>378</v>
      </c>
      <c r="Q196" s="12"/>
      <c r="R196" s="9" t="s">
        <v>809</v>
      </c>
    </row>
    <row r="197" spans="1:70" x14ac:dyDescent="0.3">
      <c r="A197" s="9" t="s">
        <v>810</v>
      </c>
      <c r="B197" s="9" t="s">
        <v>25</v>
      </c>
      <c r="C197" s="12" t="s">
        <v>811</v>
      </c>
      <c r="D197" s="9"/>
      <c r="E197" s="9"/>
      <c r="F197" s="9">
        <v>1.0529999999999999</v>
      </c>
      <c r="G197" s="9"/>
      <c r="H197" s="23" t="s">
        <v>26</v>
      </c>
      <c r="I197" s="23"/>
      <c r="J197" s="23"/>
      <c r="K197" s="12" t="s">
        <v>426</v>
      </c>
      <c r="L197" s="23" t="s">
        <v>812</v>
      </c>
      <c r="M197" s="23" t="s">
        <v>27</v>
      </c>
      <c r="N197" s="9">
        <v>22</v>
      </c>
      <c r="O197" s="9"/>
      <c r="P197" s="23" t="s">
        <v>209</v>
      </c>
      <c r="Q197" s="12"/>
      <c r="R197" s="9" t="s">
        <v>813</v>
      </c>
    </row>
    <row r="198" spans="1:70" customFormat="1" x14ac:dyDescent="0.3">
      <c r="A198" s="80" t="s">
        <v>814</v>
      </c>
      <c r="B198" s="58" t="s">
        <v>25</v>
      </c>
      <c r="C198" s="45" t="s">
        <v>815</v>
      </c>
      <c r="D198" s="45"/>
      <c r="E198" s="45"/>
      <c r="F198" s="58">
        <v>2.2875000000000001</v>
      </c>
      <c r="G198" s="45"/>
      <c r="H198" s="45" t="s">
        <v>26</v>
      </c>
      <c r="I198" s="45"/>
      <c r="J198" s="45"/>
      <c r="K198" s="45" t="s">
        <v>816</v>
      </c>
      <c r="L198" s="45" t="s">
        <v>817</v>
      </c>
      <c r="M198" s="45" t="s">
        <v>27</v>
      </c>
      <c r="N198" s="58">
        <v>10</v>
      </c>
      <c r="O198" s="45"/>
      <c r="P198" s="45" t="s">
        <v>378</v>
      </c>
      <c r="Q198" s="11"/>
      <c r="R198" s="9" t="s">
        <v>818</v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spans="1:70" x14ac:dyDescent="0.3">
      <c r="A199" s="20" t="s">
        <v>819</v>
      </c>
      <c r="B199" s="20" t="s">
        <v>111</v>
      </c>
      <c r="C199" s="21" t="s">
        <v>820</v>
      </c>
      <c r="D199" s="20"/>
      <c r="E199" s="20"/>
      <c r="F199" s="20">
        <v>0.93679999999999997</v>
      </c>
      <c r="G199" s="20"/>
      <c r="H199" s="32" t="s">
        <v>26</v>
      </c>
      <c r="I199" s="32"/>
      <c r="J199" s="32"/>
      <c r="K199" s="21" t="s">
        <v>207</v>
      </c>
      <c r="L199" s="32" t="s">
        <v>821</v>
      </c>
      <c r="M199" s="32" t="s">
        <v>27</v>
      </c>
      <c r="N199" s="20">
        <v>18</v>
      </c>
      <c r="O199" s="20"/>
      <c r="P199" s="32" t="s">
        <v>789</v>
      </c>
      <c r="Q199" s="21"/>
      <c r="R199" s="20" t="s">
        <v>822</v>
      </c>
    </row>
    <row r="200" spans="1:70" x14ac:dyDescent="0.3">
      <c r="A200" s="20" t="s">
        <v>823</v>
      </c>
      <c r="B200" s="20" t="s">
        <v>824</v>
      </c>
      <c r="C200" s="21" t="s">
        <v>825</v>
      </c>
      <c r="D200" s="20"/>
      <c r="E200" s="20"/>
      <c r="F200" s="20">
        <v>0.38873000000000002</v>
      </c>
      <c r="G200" s="20"/>
      <c r="H200" s="32" t="s">
        <v>26</v>
      </c>
      <c r="I200" s="32"/>
      <c r="J200" s="32"/>
      <c r="K200" s="21" t="s">
        <v>207</v>
      </c>
      <c r="L200" s="32" t="s">
        <v>826</v>
      </c>
      <c r="M200" s="32" t="s">
        <v>27</v>
      </c>
      <c r="N200" s="20">
        <v>6</v>
      </c>
      <c r="O200" s="20"/>
      <c r="P200" s="32" t="s">
        <v>209</v>
      </c>
      <c r="Q200" s="21"/>
      <c r="R200" s="20" t="s">
        <v>827</v>
      </c>
    </row>
    <row r="201" spans="1:70" x14ac:dyDescent="0.3">
      <c r="A201" s="20" t="s">
        <v>828</v>
      </c>
      <c r="B201" s="20" t="s">
        <v>824</v>
      </c>
      <c r="C201" s="21" t="s">
        <v>829</v>
      </c>
      <c r="D201" s="20"/>
      <c r="E201" s="20"/>
      <c r="F201" s="20">
        <v>4.48569</v>
      </c>
      <c r="G201" s="20"/>
      <c r="H201" s="32" t="s">
        <v>26</v>
      </c>
      <c r="I201" s="32"/>
      <c r="J201" s="32"/>
      <c r="K201" s="21" t="s">
        <v>207</v>
      </c>
      <c r="L201" s="32" t="s">
        <v>830</v>
      </c>
      <c r="M201" s="32" t="s">
        <v>27</v>
      </c>
      <c r="N201" s="20">
        <v>18</v>
      </c>
      <c r="O201" s="20"/>
      <c r="P201" s="32" t="s">
        <v>209</v>
      </c>
      <c r="Q201" s="21"/>
      <c r="R201" s="20" t="s">
        <v>831</v>
      </c>
    </row>
    <row r="202" spans="1:70" customFormat="1" x14ac:dyDescent="0.3">
      <c r="A202" s="81" t="s">
        <v>832</v>
      </c>
      <c r="B202" s="56" t="s">
        <v>824</v>
      </c>
      <c r="C202" s="55" t="s">
        <v>833</v>
      </c>
      <c r="D202" s="55"/>
      <c r="E202" s="55"/>
      <c r="F202" s="56">
        <v>1.5220400000000001</v>
      </c>
      <c r="G202" s="55"/>
      <c r="H202" s="55" t="s">
        <v>26</v>
      </c>
      <c r="I202" s="55"/>
      <c r="J202" s="55"/>
      <c r="K202" s="55" t="s">
        <v>207</v>
      </c>
      <c r="L202" s="55" t="s">
        <v>834</v>
      </c>
      <c r="M202" s="55" t="s">
        <v>27</v>
      </c>
      <c r="N202" s="56">
        <v>12</v>
      </c>
      <c r="O202" s="55"/>
      <c r="P202" s="55" t="s">
        <v>789</v>
      </c>
      <c r="Q202" s="22"/>
      <c r="R202" s="20" t="s">
        <v>835</v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spans="1:70" s="57" customFormat="1" x14ac:dyDescent="0.3">
      <c r="A203" s="81" t="s">
        <v>836</v>
      </c>
      <c r="B203" s="56" t="s">
        <v>824</v>
      </c>
      <c r="C203" s="55" t="s">
        <v>837</v>
      </c>
      <c r="D203" s="55"/>
      <c r="E203" s="55"/>
      <c r="F203" s="56">
        <v>2.6295700000000002</v>
      </c>
      <c r="G203" s="55"/>
      <c r="H203" s="55" t="s">
        <v>26</v>
      </c>
      <c r="I203" s="55"/>
      <c r="J203" s="55"/>
      <c r="K203" s="55" t="s">
        <v>604</v>
      </c>
      <c r="L203" s="55" t="s">
        <v>838</v>
      </c>
      <c r="M203" s="55" t="s">
        <v>27</v>
      </c>
      <c r="N203" s="56">
        <v>10</v>
      </c>
      <c r="O203" s="55"/>
      <c r="P203" s="55" t="s">
        <v>209</v>
      </c>
      <c r="Q203" s="22"/>
      <c r="R203" s="20" t="s">
        <v>839</v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spans="1:70" x14ac:dyDescent="0.3">
      <c r="A204" s="9" t="s">
        <v>840</v>
      </c>
      <c r="B204" s="9" t="s">
        <v>25</v>
      </c>
      <c r="C204" s="12" t="s">
        <v>841</v>
      </c>
      <c r="D204" s="9"/>
      <c r="E204" s="9"/>
      <c r="F204" s="9">
        <v>0.18855</v>
      </c>
      <c r="G204" s="9"/>
      <c r="H204" s="23" t="s">
        <v>26</v>
      </c>
      <c r="I204" s="23"/>
      <c r="J204" s="23"/>
      <c r="K204" s="12" t="s">
        <v>114</v>
      </c>
      <c r="L204" s="23" t="s">
        <v>842</v>
      </c>
      <c r="M204" s="23" t="s">
        <v>27</v>
      </c>
      <c r="N204" s="9">
        <v>11</v>
      </c>
      <c r="O204" s="9"/>
      <c r="P204" s="23" t="s">
        <v>209</v>
      </c>
      <c r="Q204" s="12"/>
      <c r="R204" s="9" t="s">
        <v>843</v>
      </c>
    </row>
    <row r="205" spans="1:70" x14ac:dyDescent="0.3">
      <c r="A205" s="20" t="s">
        <v>844</v>
      </c>
      <c r="B205" s="20" t="s">
        <v>111</v>
      </c>
      <c r="C205" s="21" t="s">
        <v>845</v>
      </c>
      <c r="D205" s="20"/>
      <c r="E205" s="20"/>
      <c r="F205" s="20">
        <v>3.5999999999999999E-3</v>
      </c>
      <c r="G205" s="20"/>
      <c r="H205" s="32" t="s">
        <v>26</v>
      </c>
      <c r="I205" s="32"/>
      <c r="J205" s="32"/>
      <c r="K205" s="21" t="s">
        <v>846</v>
      </c>
      <c r="L205" s="32" t="s">
        <v>847</v>
      </c>
      <c r="M205" s="32" t="s">
        <v>804</v>
      </c>
      <c r="N205" s="20">
        <v>6</v>
      </c>
      <c r="O205" s="20"/>
      <c r="P205" s="32" t="s">
        <v>673</v>
      </c>
      <c r="Q205" s="21"/>
      <c r="R205" s="20">
        <v>610010</v>
      </c>
    </row>
    <row r="206" spans="1:70" x14ac:dyDescent="0.3">
      <c r="A206" s="20" t="s">
        <v>848</v>
      </c>
      <c r="B206" s="20" t="s">
        <v>824</v>
      </c>
      <c r="C206" s="21" t="s">
        <v>849</v>
      </c>
      <c r="D206" s="20"/>
      <c r="E206" s="20"/>
      <c r="F206" s="20">
        <v>0.126</v>
      </c>
      <c r="G206" s="20"/>
      <c r="H206" s="32" t="s">
        <v>26</v>
      </c>
      <c r="I206" s="32"/>
      <c r="J206" s="32"/>
      <c r="K206" s="21" t="s">
        <v>426</v>
      </c>
      <c r="L206" s="32" t="s">
        <v>850</v>
      </c>
      <c r="M206" s="32" t="s">
        <v>27</v>
      </c>
      <c r="N206" s="20">
        <v>11</v>
      </c>
      <c r="O206" s="20"/>
      <c r="P206" s="32" t="s">
        <v>134</v>
      </c>
      <c r="Q206" s="21"/>
      <c r="R206" s="20" t="s">
        <v>851</v>
      </c>
    </row>
    <row r="207" spans="1:70" x14ac:dyDescent="0.3">
      <c r="A207" s="20" t="s">
        <v>852</v>
      </c>
      <c r="B207" s="20" t="s">
        <v>111</v>
      </c>
      <c r="C207" s="21" t="s">
        <v>853</v>
      </c>
      <c r="D207" s="20"/>
      <c r="E207" s="20"/>
      <c r="F207" s="20">
        <v>7.3499999999999998E-3</v>
      </c>
      <c r="G207" s="20"/>
      <c r="H207" s="32" t="s">
        <v>26</v>
      </c>
      <c r="I207" s="32"/>
      <c r="J207" s="32"/>
      <c r="K207" s="21" t="s">
        <v>142</v>
      </c>
      <c r="L207" s="32" t="s">
        <v>854</v>
      </c>
      <c r="M207" s="32" t="s">
        <v>27</v>
      </c>
      <c r="N207" s="20" t="s">
        <v>855</v>
      </c>
      <c r="O207" s="20"/>
      <c r="P207" s="32" t="s">
        <v>856</v>
      </c>
      <c r="Q207" s="21"/>
      <c r="R207" s="20">
        <v>616013</v>
      </c>
    </row>
    <row r="208" spans="1:70" s="54" customFormat="1" x14ac:dyDescent="0.3">
      <c r="A208" s="9" t="s">
        <v>885</v>
      </c>
      <c r="B208" s="9" t="s">
        <v>25</v>
      </c>
      <c r="C208" s="12" t="s">
        <v>884</v>
      </c>
      <c r="D208" s="9"/>
      <c r="E208" s="9"/>
      <c r="F208" s="9">
        <v>2.8471099999999998</v>
      </c>
      <c r="G208" s="9"/>
      <c r="H208" s="23" t="s">
        <v>26</v>
      </c>
      <c r="I208" s="70"/>
      <c r="J208" s="68"/>
      <c r="K208" s="12" t="s">
        <v>469</v>
      </c>
      <c r="L208" s="23" t="s">
        <v>886</v>
      </c>
      <c r="M208" s="23" t="s">
        <v>27</v>
      </c>
      <c r="N208" s="9">
        <v>20</v>
      </c>
      <c r="O208" s="9"/>
      <c r="P208" s="23" t="s">
        <v>887</v>
      </c>
      <c r="Q208" s="12"/>
      <c r="R208" s="9" t="s">
        <v>883</v>
      </c>
    </row>
  </sheetData>
  <autoFilter ref="A11:Q207" xr:uid="{00000000-0001-0000-0000-000000000000}"/>
  <mergeCells count="6">
    <mergeCell ref="B6:C6"/>
    <mergeCell ref="B1:C1"/>
    <mergeCell ref="B2:C2"/>
    <mergeCell ref="B3:C3"/>
    <mergeCell ref="B4:C4"/>
    <mergeCell ref="B5:C5"/>
  </mergeCells>
  <conditionalFormatting sqref="A12:A130 A132:A152 A154:A184">
    <cfRule type="duplicateValues" dxfId="48" priority="59"/>
    <cfRule type="duplicateValues" dxfId="47" priority="60"/>
  </conditionalFormatting>
  <conditionalFormatting sqref="A131">
    <cfRule type="duplicateValues" dxfId="46" priority="2"/>
    <cfRule type="duplicateValues" dxfId="45" priority="3"/>
  </conditionalFormatting>
  <conditionalFormatting sqref="A185">
    <cfRule type="duplicateValues" dxfId="44" priority="47"/>
    <cfRule type="duplicateValues" dxfId="43" priority="48"/>
  </conditionalFormatting>
  <conditionalFormatting sqref="A187">
    <cfRule type="duplicateValues" dxfId="42" priority="43"/>
    <cfRule type="duplicateValues" dxfId="41" priority="44"/>
  </conditionalFormatting>
  <conditionalFormatting sqref="A188">
    <cfRule type="duplicateValues" dxfId="40" priority="40"/>
    <cfRule type="duplicateValues" dxfId="39" priority="39"/>
  </conditionalFormatting>
  <conditionalFormatting sqref="A189">
    <cfRule type="duplicateValues" dxfId="38" priority="35"/>
    <cfRule type="duplicateValues" dxfId="37" priority="36"/>
  </conditionalFormatting>
  <conditionalFormatting sqref="A191">
    <cfRule type="duplicateValues" dxfId="36" priority="32"/>
    <cfRule type="duplicateValues" dxfId="35" priority="31"/>
  </conditionalFormatting>
  <conditionalFormatting sqref="A192">
    <cfRule type="duplicateValues" dxfId="34" priority="28"/>
    <cfRule type="duplicateValues" dxfId="33" priority="27"/>
  </conditionalFormatting>
  <conditionalFormatting sqref="A193">
    <cfRule type="duplicateValues" dxfId="32" priority="23"/>
    <cfRule type="duplicateValues" dxfId="31" priority="24"/>
  </conditionalFormatting>
  <conditionalFormatting sqref="A198">
    <cfRule type="duplicateValues" dxfId="30" priority="19"/>
    <cfRule type="duplicateValues" dxfId="29" priority="20"/>
  </conditionalFormatting>
  <conditionalFormatting sqref="A202">
    <cfRule type="duplicateValues" dxfId="28" priority="15"/>
    <cfRule type="duplicateValues" dxfId="27" priority="16"/>
  </conditionalFormatting>
  <conditionalFormatting sqref="A203">
    <cfRule type="duplicateValues" dxfId="26" priority="11"/>
    <cfRule type="duplicateValues" dxfId="25" priority="12"/>
  </conditionalFormatting>
  <conditionalFormatting sqref="C12:C130 C132:C152 C154:C184">
    <cfRule type="duplicateValues" dxfId="24" priority="67"/>
  </conditionalFormatting>
  <conditionalFormatting sqref="C131">
    <cfRule type="duplicateValues" dxfId="23" priority="4"/>
  </conditionalFormatting>
  <conditionalFormatting sqref="C185">
    <cfRule type="duplicateValues" dxfId="22" priority="46"/>
  </conditionalFormatting>
  <conditionalFormatting sqref="C187">
    <cfRule type="duplicateValues" dxfId="21" priority="42"/>
  </conditionalFormatting>
  <conditionalFormatting sqref="C188">
    <cfRule type="duplicateValues" dxfId="20" priority="38"/>
  </conditionalFormatting>
  <conditionalFormatting sqref="C189">
    <cfRule type="duplicateValues" dxfId="19" priority="34"/>
  </conditionalFormatting>
  <conditionalFormatting sqref="C191">
    <cfRule type="duplicateValues" dxfId="18" priority="30"/>
  </conditionalFormatting>
  <conditionalFormatting sqref="C192">
    <cfRule type="duplicateValues" dxfId="17" priority="26"/>
  </conditionalFormatting>
  <conditionalFormatting sqref="C193">
    <cfRule type="duplicateValues" dxfId="16" priority="22"/>
  </conditionalFormatting>
  <conditionalFormatting sqref="C198">
    <cfRule type="duplicateValues" dxfId="15" priority="18"/>
  </conditionalFormatting>
  <conditionalFormatting sqref="C202">
    <cfRule type="duplicateValues" dxfId="14" priority="14"/>
  </conditionalFormatting>
  <conditionalFormatting sqref="C203">
    <cfRule type="duplicateValues" dxfId="13" priority="10"/>
  </conditionalFormatting>
  <conditionalFormatting sqref="L131">
    <cfRule type="duplicateValues" dxfId="12" priority="1"/>
  </conditionalFormatting>
  <conditionalFormatting sqref="L156">
    <cfRule type="duplicateValues" dxfId="11" priority="49"/>
  </conditionalFormatting>
  <conditionalFormatting sqref="L160:L184 L12:L130 L132:L152 L154:L158">
    <cfRule type="duplicateValues" dxfId="10" priority="71"/>
  </conditionalFormatting>
  <conditionalFormatting sqref="L185">
    <cfRule type="duplicateValues" dxfId="9" priority="45"/>
  </conditionalFormatting>
  <conditionalFormatting sqref="L187">
    <cfRule type="duplicateValues" dxfId="8" priority="41"/>
  </conditionalFormatting>
  <conditionalFormatting sqref="L188">
    <cfRule type="duplicateValues" dxfId="7" priority="37"/>
  </conditionalFormatting>
  <conditionalFormatting sqref="L189">
    <cfRule type="duplicateValues" dxfId="6" priority="33"/>
  </conditionalFormatting>
  <conditionalFormatting sqref="L191">
    <cfRule type="duplicateValues" dxfId="5" priority="29"/>
  </conditionalFormatting>
  <conditionalFormatting sqref="L192">
    <cfRule type="duplicateValues" dxfId="4" priority="25"/>
  </conditionalFormatting>
  <conditionalFormatting sqref="L193">
    <cfRule type="duplicateValues" dxfId="3" priority="21"/>
  </conditionalFormatting>
  <conditionalFormatting sqref="L198">
    <cfRule type="duplicateValues" dxfId="2" priority="17"/>
  </conditionalFormatting>
  <conditionalFormatting sqref="L202">
    <cfRule type="duplicateValues" dxfId="1" priority="13"/>
  </conditionalFormatting>
  <conditionalFormatting sqref="L203">
    <cfRule type="duplicateValues" dxfId="0" priority="9"/>
  </conditionalFormatting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2025-11-26T21:53:41Z</dcterms:created>
  <dcterms:modified xsi:type="dcterms:W3CDTF">2025-12-08T20:11:16Z</dcterms:modified>
</cp:coreProperties>
</file>