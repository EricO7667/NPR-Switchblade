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480" yWindow="-120" windowWidth="29040" windowHeight="15720" tabRatio="600" firstSheet="0" activeTab="0" autoFilterDateGrouping="1"/>
  </bookViews>
  <sheets>
    <sheet name="BOM" sheetId="1" state="visible" r:id="rId1"/>
    <sheet name="NPR" sheetId="2" state="visible" r:id="rId2"/>
    <sheet name="Alternates for Approval" sheetId="3" state="visible" r:id="rId3"/>
    <sheet name="Bomexistenc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_);[Red]\(0.0000\)"/>
  </numFmts>
  <fonts count="4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</cellXfs>
  <cellStyles count="1">
    <cellStyle name="Normal" xfId="0" builtinId="0"/>
  </cellStyles>
  <dxfs count="21"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3"/>
    <tableColumn id="3" name="Description" dataDxfId="2"/>
    <tableColumn id="4" name="QTY." dataDxfId="19"/>
    <tableColumn id="5" name="REFDES" dataDxfId="1"/>
    <tableColumn id="6" name="TYPE" dataDxfId="0"/>
    <tableColumn id="7" name="Manufacturer" dataDxfId="18"/>
    <tableColumn id="8" name="Manufacturere PN" dataDxfId="17"/>
    <tableColumn id="9" name="Price" dataDxfId="16"/>
    <tableColumn id="10" name="EXT Price" dataDxfId="15">
      <calculatedColumnFormula>_8620071X1_SMT[[#This Row],[Price]]*_8620071X1_SMT[[#This Row],[QTY.]]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24:J26" headerRowCount="1" totalsRowShown="0">
  <autoFilter ref="A24:J26"/>
  <tableColumns count="10">
    <tableColumn id="1" name="Item"/>
    <tableColumn id="2" name="ELAN Part Number" dataDxfId="14"/>
    <tableColumn id="3" name="Description" dataDxfId="13"/>
    <tableColumn id="4" name="QTY."/>
    <tableColumn id="5" name="REFDES" dataDxfId="12"/>
    <tableColumn id="6" name="TYPE" dataDxfId="11"/>
    <tableColumn id="7" name="Manufacturer" dataDxfId="10"/>
    <tableColumn id="8" name="Manufacturere PN" dataDxfId="9"/>
    <tableColumn id="9" name="Price" dataDxfId="8"/>
    <tableColumn id="10" name="EXT Price" dataDxfId="7">
      <calculatedColumnFormula>_8620071X1_TH[[#This Row],[Price]]*_8620071X1_TH[[#This Row],[QTY.]]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29:J33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6"/>
    <tableColumn id="6" name="TYPE"/>
    <tableColumn id="7" name="Manufacturer"/>
    <tableColumn id="8" name="Manufacturere PN"/>
    <tableColumn id="9" name="Price" dataDxfId="5"/>
    <tableColumn id="10" name="EXT Price" dataDxfId="4">
      <calculatedColumnFormula>_8620071X1_AUX[[#This Row],[Price]]*_8620071X1_AUX[[#This Row],[QTY.]]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A4" zoomScale="85" zoomScaleNormal="85" workbookViewId="0">
      <selection activeCell="N16" sqref="N16"/>
    </sheetView>
  </sheetViews>
  <sheetFormatPr baseColWidth="8" defaultRowHeight="15"/>
  <cols>
    <col width="6.85546875" bestFit="1" customWidth="1" min="1" max="1"/>
    <col width="24.140625" bestFit="1" customWidth="1" min="2" max="2"/>
    <col width="58.42578125" customWidth="1" min="3" max="3"/>
    <col width="13.140625" bestFit="1" customWidth="1" min="4" max="4"/>
    <col width="26.28515625" customWidth="1" style="9" min="5" max="5"/>
    <col width="13.5703125" customWidth="1" min="6" max="6"/>
    <col width="23.140625" customWidth="1" min="7" max="7"/>
    <col width="19.85546875" bestFit="1" customWidth="1" min="8" max="8"/>
    <col width="11.285156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n"/>
      <c r="D2" s="8" t="n"/>
    </row>
    <row r="3">
      <c r="A3" s="5" t="n"/>
      <c r="B3" s="6" t="inlineStr">
        <is>
          <t>Description:</t>
        </is>
      </c>
      <c r="C3" s="7" t="n"/>
      <c r="D3" s="8" t="n"/>
    </row>
    <row r="4">
      <c r="A4" s="10" t="n"/>
      <c r="B4" s="6" t="inlineStr">
        <is>
          <t>BOM P/N:</t>
        </is>
      </c>
      <c r="C4" s="7" t="n"/>
      <c r="D4" s="8" t="n"/>
    </row>
    <row r="5">
      <c r="A5" s="10" t="n"/>
      <c r="B5" s="6" t="inlineStr">
        <is>
          <t>Date of last Revision:</t>
        </is>
      </c>
      <c r="C5" s="11" t="n"/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XXXXXXXXXXXXXXXXX</t>
        </is>
      </c>
      <c r="C17" s="20" t="inlineStr">
        <is>
          <t>CAP CER XXXXXXXXXXXXXXXXXX</t>
        </is>
      </c>
      <c r="D17" t="n">
        <v>27</v>
      </c>
      <c r="E17" s="20" t="inlineStr">
        <is>
          <t>C1, C3, C5, C6, C8, C11, C13, C14, C15, C18, C23, C25, C27, C28, C29, C30, C31, C32, C33, C34, C35, C36, C37, C38, C39, C40, C41</t>
        </is>
      </c>
      <c r="F17" s="20" t="inlineStr">
        <is>
          <t>SMT</t>
        </is>
      </c>
      <c r="G17" t="inlineStr">
        <is>
          <t>XXXXXXXXXXXX</t>
        </is>
      </c>
      <c r="H17" t="inlineStr">
        <is>
          <t>XXXXXXXXXXXXXXX</t>
        </is>
      </c>
      <c r="J17">
        <f>_8620071X1_SMT[[#This Row],[Price]]*_8620071X1_SMT[[#This Row],[QTY.]]</f>
        <v/>
      </c>
    </row>
    <row r="18">
      <c r="A18" t="n">
        <v>1</v>
      </c>
      <c r="B18" s="20" t="inlineStr">
        <is>
          <t>48-10436-A001</t>
        </is>
      </c>
      <c r="C18" s="20" t="inlineStr">
        <is>
          <t>XTAL 12MHz 18pF 2SMD CERAMIC RoHS</t>
        </is>
      </c>
      <c r="D18" t="n">
        <v>1</v>
      </c>
      <c r="E18" s="20" t="inlineStr"/>
      <c r="F18" s="20" t="inlineStr">
        <is>
          <t>SMT</t>
        </is>
      </c>
      <c r="G18" t="inlineStr">
        <is>
          <t>Abracon</t>
        </is>
      </c>
      <c r="H18" t="inlineStr">
        <is>
          <t>sde18a48-12.000mhztr</t>
        </is>
      </c>
    </row>
    <row r="19">
      <c r="A19" t="n">
        <v>3</v>
      </c>
      <c r="B19" s="20" t="n"/>
      <c r="C19" s="20" t="n"/>
      <c r="E19" s="20" t="n"/>
      <c r="F19" s="20" t="n"/>
    </row>
    <row r="20">
      <c r="A20" t="n">
        <v>4</v>
      </c>
      <c r="B20" s="20" t="n"/>
      <c r="C20" s="20" t="n"/>
      <c r="E20" s="20" t="n"/>
      <c r="F20" s="20" t="n"/>
    </row>
    <row r="21">
      <c r="A21" t="n">
        <v>5</v>
      </c>
      <c r="B21" s="20" t="n"/>
      <c r="C21" s="20" t="n"/>
      <c r="E21" s="20" t="n"/>
      <c r="F21" s="20" t="n"/>
    </row>
    <row r="22">
      <c r="B22" s="20" t="n"/>
      <c r="C22" s="20" t="n"/>
      <c r="E22" s="20" t="n"/>
      <c r="F22" s="20" t="n"/>
    </row>
    <row r="23">
      <c r="A23" s="10" t="n"/>
      <c r="B23" s="14" t="inlineStr">
        <is>
          <t>THROUGH-HOLE</t>
        </is>
      </c>
      <c r="C23" s="7" t="n"/>
      <c r="D23" s="8" t="n"/>
      <c r="E23" s="15" t="n"/>
    </row>
    <row r="24">
      <c r="A24" s="16" t="inlineStr">
        <is>
          <t>Item</t>
        </is>
      </c>
      <c r="B24" s="16" t="inlineStr">
        <is>
          <t>ELAN Part Number</t>
        </is>
      </c>
      <c r="C24" s="16" t="inlineStr">
        <is>
          <t>Description</t>
        </is>
      </c>
      <c r="D24" s="17" t="inlineStr">
        <is>
          <t>QTY.</t>
        </is>
      </c>
      <c r="E24" s="18" t="inlineStr">
        <is>
          <t>REFDES</t>
        </is>
      </c>
      <c r="F24" s="19" t="inlineStr">
        <is>
          <t>TYPE</t>
        </is>
      </c>
      <c r="G24" s="19" t="inlineStr">
        <is>
          <t>Manufacturer</t>
        </is>
      </c>
      <c r="H24" s="19" t="inlineStr">
        <is>
          <t>Manufacturere PN</t>
        </is>
      </c>
      <c r="I24" s="19" t="inlineStr">
        <is>
          <t>Price</t>
        </is>
      </c>
      <c r="J24" s="19" t="inlineStr">
        <is>
          <t>EXT Price</t>
        </is>
      </c>
    </row>
    <row r="25">
      <c r="A25" t="n">
        <v>1</v>
      </c>
      <c r="B25" s="20" t="inlineStr">
        <is>
          <t>XXXXXXXXXXXXXXXXX</t>
        </is>
      </c>
      <c r="C25" s="20" t="inlineStr">
        <is>
          <t>CAP CER XXXXXXXXXXXXXXXXXX</t>
        </is>
      </c>
      <c r="D25" t="n">
        <v>27</v>
      </c>
      <c r="E25" s="20" t="inlineStr">
        <is>
          <t>c2,c4</t>
        </is>
      </c>
      <c r="F25" s="20" t="inlineStr">
        <is>
          <t>TH</t>
        </is>
      </c>
      <c r="G25" t="inlineStr">
        <is>
          <t>XXXXXXXXXXXX</t>
        </is>
      </c>
      <c r="H25" t="inlineStr">
        <is>
          <t>XXXXXXXXXXXXXXX</t>
        </is>
      </c>
      <c r="J25">
        <f>_8620071X1_TH[[#This Row],[Price]]*_8620071X1_TH[[#This Row],[QTY.]]</f>
        <v/>
      </c>
    </row>
    <row r="26">
      <c r="A26" t="n">
        <v>1</v>
      </c>
      <c r="B26" s="20" t="inlineStr">
        <is>
          <t>48-10432-A001</t>
        </is>
      </c>
      <c r="C26" s="20" t="inlineStr">
        <is>
          <t>DIODE SCHOTTKY SD103AW 40V 400mW SOD-123 RoHS</t>
        </is>
      </c>
      <c r="D26" t="n">
        <v>7</v>
      </c>
      <c r="E26" s="20" t="inlineStr"/>
      <c r="F26" s="20" t="inlineStr">
        <is>
          <t>TH</t>
        </is>
      </c>
      <c r="G26" t="inlineStr">
        <is>
          <t>Micro Commercial</t>
        </is>
      </c>
      <c r="H26" t="inlineStr">
        <is>
          <t>sd103aw-tp</t>
        </is>
      </c>
      <c r="J26">
        <f>_8620071X1_TH[[#This Row],[Price]]*_8620071X1_TH[[#This Row],[QTY.]]</f>
        <v/>
      </c>
    </row>
    <row r="27"/>
    <row r="28">
      <c r="A28" s="10" t="n"/>
      <c r="B28" s="14" t="inlineStr">
        <is>
          <t>AUXILLARY</t>
        </is>
      </c>
      <c r="C28" s="7" t="n"/>
      <c r="D28" s="8" t="n"/>
      <c r="E28" s="15" t="n"/>
    </row>
    <row r="29">
      <c r="A29" s="16" t="inlineStr">
        <is>
          <t>Item</t>
        </is>
      </c>
      <c r="B29" s="16" t="inlineStr">
        <is>
          <t>ELAN Part Number</t>
        </is>
      </c>
      <c r="C29" s="16" t="inlineStr">
        <is>
          <t>Description</t>
        </is>
      </c>
      <c r="D29" s="17" t="inlineStr">
        <is>
          <t>QTY.</t>
        </is>
      </c>
      <c r="E29" s="18" t="inlineStr">
        <is>
          <t>REFDES</t>
        </is>
      </c>
      <c r="F29" s="19" t="inlineStr">
        <is>
          <t>TYPE</t>
        </is>
      </c>
      <c r="G29" s="19" t="inlineStr">
        <is>
          <t>Manufacturer</t>
        </is>
      </c>
      <c r="H29" s="19" t="inlineStr">
        <is>
          <t>Manufacturere PN</t>
        </is>
      </c>
      <c r="I29" s="19" t="inlineStr">
        <is>
          <t>Price</t>
        </is>
      </c>
      <c r="J29" s="19" t="inlineStr">
        <is>
          <t>EXT Price</t>
        </is>
      </c>
    </row>
    <row r="30">
      <c r="A30" t="n">
        <v>1</v>
      </c>
      <c r="B30" s="20" t="inlineStr">
        <is>
          <t>XXXXXXXXXXXXXXXXX</t>
        </is>
      </c>
      <c r="C30" s="20" t="inlineStr">
        <is>
          <t>xxxxxxxxxxxxxxxxxxxxxxxx</t>
        </is>
      </c>
      <c r="D30" t="n">
        <v>27</v>
      </c>
      <c r="E30" s="20" t="n"/>
      <c r="F30" s="24" t="inlineStr">
        <is>
          <t>assembly</t>
        </is>
      </c>
      <c r="G30" t="inlineStr">
        <is>
          <t>XXXXXXXXXXXX</t>
        </is>
      </c>
      <c r="H30" t="inlineStr">
        <is>
          <t>XXXXXXXXXXXXXXX</t>
        </is>
      </c>
      <c r="I30" s="19" t="n"/>
      <c r="J30" s="19">
        <f>_8620071X1_AUX[[#This Row],[Price]]*_8620071X1_AUX[[#This Row],[QTY.]]</f>
        <v/>
      </c>
    </row>
    <row r="31">
      <c r="A31" s="21" t="n">
        <v>2</v>
      </c>
      <c r="B31" s="21" t="inlineStr">
        <is>
          <t>XXXXXXXXXXXXXXXXX</t>
        </is>
      </c>
      <c r="C31" s="21" t="inlineStr">
        <is>
          <t>xxxxxxxxxxxxxxxxxxxxxxxx</t>
        </is>
      </c>
      <c r="D31" s="22" t="n"/>
      <c r="E31" s="23" t="n"/>
      <c r="F31" s="20" t="inlineStr">
        <is>
          <t>mech</t>
        </is>
      </c>
      <c r="G31" s="19" t="n"/>
      <c r="H31" s="19" t="n"/>
      <c r="I31" s="19" t="n"/>
      <c r="J31" s="19">
        <f>_8620071X1_AUX[[#This Row],[Price]]*_8620071X1_AUX[[#This Row],[QTY.]]</f>
        <v/>
      </c>
    </row>
    <row r="32">
      <c r="A32" s="21" t="n">
        <v>3</v>
      </c>
      <c r="B32" s="21" t="inlineStr">
        <is>
          <t>xxxxxxxxxxxxxxxxxxxx</t>
        </is>
      </c>
      <c r="C32" s="21" t="inlineStr">
        <is>
          <t>xxxxxxxxxxxxxxxxxxxxxxxxxxxxxxxx</t>
        </is>
      </c>
      <c r="D32" s="22" t="n"/>
      <c r="E32" s="23" t="n"/>
      <c r="F32" s="20" t="inlineStr">
        <is>
          <t>production</t>
        </is>
      </c>
      <c r="G32" s="19" t="n"/>
      <c r="H32" s="19" t="n"/>
      <c r="I32" s="19" t="n"/>
      <c r="J32" s="19">
        <f>_8620071X1_AUX[[#This Row],[Price]]*_8620071X1_AUX[[#This Row],[QTY.]]</f>
        <v/>
      </c>
    </row>
    <row r="33">
      <c r="A33" s="21" t="n"/>
      <c r="B33" s="21" t="n"/>
      <c r="C33" s="21" t="n"/>
      <c r="D33" s="22" t="n"/>
      <c r="E33" s="23" t="n"/>
      <c r="F33" s="20" t="n"/>
      <c r="G33" s="19" t="n"/>
      <c r="H33" s="19" t="n"/>
      <c r="I33" s="19" t="n"/>
      <c r="J33" s="19">
        <f>_8620071X1_AUX[[#This Row],[Price]]*_8620071X1_AUX[[#This Row],[QTY.]]</f>
        <v/>
      </c>
    </row>
    <row r="34"/>
    <row r="35"/>
    <row r="36"/>
    <row r="37"/>
    <row r="38"/>
    <row r="39">
      <c r="A39" s="8" t="n"/>
      <c r="B39" s="8" t="n"/>
      <c r="C39" s="7" t="n"/>
      <c r="D39" s="8" t="n"/>
      <c r="E39" s="15" t="n"/>
    </row>
    <row r="40">
      <c r="A40" s="21" t="n"/>
      <c r="B40" s="21" t="n"/>
      <c r="C40" s="21" t="n"/>
      <c r="D40" s="22" t="n"/>
      <c r="E40" s="23" t="n"/>
    </row>
    <row r="41"/>
    <row r="42"/>
    <row r="43"/>
    <row r="44"/>
    <row r="45"/>
    <row r="46">
      <c r="A46" s="10" t="n"/>
      <c r="B46" s="8" t="n"/>
      <c r="C46" s="6" t="n"/>
      <c r="D46" s="8" t="n"/>
      <c r="E46" s="15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PN</t>
        </is>
      </c>
      <c r="B1" t="inlineStr">
        <is>
          <t>Status</t>
        </is>
      </c>
      <c r="C1" t="inlineStr">
        <is>
          <t>Description</t>
        </is>
      </c>
      <c r="D1" t="inlineStr">
        <is>
          <t>MPN</t>
        </is>
      </c>
      <c r="E1" t="inlineStr">
        <is>
          <t>Notes</t>
        </is>
      </c>
    </row>
    <row r="2">
      <c r="A2" t="inlineStr">
        <is>
          <t>48-10436-A001</t>
        </is>
      </c>
      <c r="B2" t="inlineStr">
        <is>
          <t>EXISTING</t>
        </is>
      </c>
      <c r="C2" t="inlineStr">
        <is>
          <t>XTAL 12MHz 18pF 2SMD CERAMIC RoHS</t>
        </is>
      </c>
      <c r="D2" t="inlineStr">
        <is>
          <t>SDE18A48-12.000MhzTR</t>
        </is>
      </c>
      <c r="E2" t="inlineStr"/>
    </row>
    <row r="3">
      <c r="A3" t="inlineStr">
        <is>
          <t>48-10432-A001</t>
        </is>
      </c>
      <c r="B3" t="inlineStr">
        <is>
          <t>EXISTING</t>
        </is>
      </c>
      <c r="C3" t="inlineStr">
        <is>
          <t>DIODE SCHOTTKY SD103AW 40V 400mW SOD-123 RoHS</t>
        </is>
      </c>
      <c r="D3" t="inlineStr">
        <is>
          <t>SD103AW-TP</t>
        </is>
      </c>
      <c r="E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EXPORT_DESC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HY-300-001-016</t>
        </is>
      </c>
      <c r="B2" t="inlineStr">
        <is>
          <t>SDE18A48-12.000MhzTR</t>
        </is>
      </c>
      <c r="C2" t="inlineStr">
        <is>
          <t>XTAL 12MHz 18pF 2SMD CERAMIC RoHS</t>
        </is>
      </c>
      <c r="D2" t="inlineStr">
        <is>
          <t>48-10436-A001</t>
        </is>
      </c>
      <c r="E2" t="inlineStr">
        <is>
          <t>sde18a48-12.000mhztr</t>
        </is>
      </c>
      <c r="F2" t="inlineStr">
        <is>
          <t>inventory</t>
        </is>
      </c>
      <c r="G2" t="inlineStr">
        <is>
          <t>Abracon</t>
        </is>
      </c>
      <c r="H2" t="inlineStr"/>
      <c r="I2" t="inlineStr"/>
    </row>
    <row r="3">
      <c r="A3" t="inlineStr">
        <is>
          <t>HY-350-002-018</t>
        </is>
      </c>
      <c r="B3" t="inlineStr">
        <is>
          <t>SD103AW-TP</t>
        </is>
      </c>
      <c r="C3" t="inlineStr">
        <is>
          <t>DIODE SCHOTTKY SD103AW 40V 400mW SOD-123 RoHS</t>
        </is>
      </c>
      <c r="D3" t="inlineStr">
        <is>
          <t>48-10432-A001</t>
        </is>
      </c>
      <c r="E3" t="inlineStr">
        <is>
          <t>sd103aw-tp</t>
        </is>
      </c>
      <c r="F3" t="inlineStr">
        <is>
          <t>inventory</t>
        </is>
      </c>
      <c r="G3" t="inlineStr">
        <is>
          <t>Micro Commercial</t>
        </is>
      </c>
      <c r="H3" t="inlineStr"/>
      <c r="I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HY-300-001-016</t>
        </is>
      </c>
      <c r="B2" t="inlineStr">
        <is>
          <t>SDE18A48-12.000MhzTR</t>
        </is>
      </c>
      <c r="C2" t="inlineStr">
        <is>
          <t>XTAL 12MHz 18pF 2SMD CERAMIC RoHS</t>
        </is>
      </c>
      <c r="D2" t="inlineStr">
        <is>
          <t>48-10436-A001</t>
        </is>
      </c>
      <c r="E2" t="inlineStr">
        <is>
          <t>EXISTING</t>
        </is>
      </c>
      <c r="F2" t="inlineStr"/>
    </row>
    <row r="3">
      <c r="A3" t="inlineStr">
        <is>
          <t>HY-350-002-018</t>
        </is>
      </c>
      <c r="B3" t="inlineStr">
        <is>
          <t>SD103AW-TP</t>
        </is>
      </c>
      <c r="C3" t="inlineStr">
        <is>
          <t>DIODE SCHOTTKY SD103AW 40V 400mW SOD-123 RoHS</t>
        </is>
      </c>
      <c r="D3" t="inlineStr">
        <is>
          <t>48-10432-A001</t>
        </is>
      </c>
      <c r="E3" t="inlineStr">
        <is>
          <t>EXISTING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2026-03-05T14:44:25Z</dcterms:modified>
  <cp:lastModifiedBy>Eric Ortiz</cp:lastModifiedBy>
</cp:coreProperties>
</file>