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name="8620071X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3"/>
    <tableColumn id="3" name="Description" dataDxfId="2"/>
    <tableColumn id="4" name="QTY." dataDxfId="19"/>
    <tableColumn id="5" name="REFDES" dataDxfId="1"/>
    <tableColumn id="6" name="TYPE" dataDxfId="0"/>
    <tableColumn id="7" name="Manufacturer" dataDxfId="18"/>
    <tableColumn id="8" name="Manufacturere PN" dataDxfId="17"/>
    <tableColumn id="9" name="Price" dataDxfId="16"/>
    <tableColumn id="10" name="EXT Price" dataDxfId="15">
      <calculatedColumnFormula>_8620071X1_SMT[[#This Row],[Price]]*_8620071X1_SMT[[#This Row],[QTY.]]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4"/>
    <tableColumn id="3" name="Description" dataDxfId="13"/>
    <tableColumn id="4" name="QTY."/>
    <tableColumn id="5" name="REFDES" dataDxfId="12"/>
    <tableColumn id="6" name="TYPE" dataDxfId="11"/>
    <tableColumn id="7" name="Manufacturer" dataDxfId="10"/>
    <tableColumn id="8" name="Manufacturere PN" dataDxfId="9"/>
    <tableColumn id="9" name="Price" dataDxfId="8"/>
    <tableColumn id="10" name="EXT Price" dataDxfId="7">
      <calculatedColumnFormula>_8620071X1_TH[[#This Row],[Price]]*_8620071X1_TH[[#This Row],[QTY.]]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6"/>
    <tableColumn id="6" name="TYPE"/>
    <tableColumn id="7" name="Manufacturer"/>
    <tableColumn id="8" name="Manufacturere PN"/>
    <tableColumn id="9" name="Price" dataDxfId="5"/>
    <tableColumn id="10" name="EXT Price" dataDxfId="4">
      <calculatedColumnFormula>_8620071X1_AUX[[#This Row],[Price]]*_8620071X1_AUX[[#This Row],[QTY.]]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N16" sqref="N16"/>
    </sheetView>
  </sheetViews>
  <sheetFormatPr baseColWidth="8" defaultRowHeight="15"/>
  <cols>
    <col width="6.85546875" bestFit="1" customWidth="1" min="1" max="1"/>
    <col width="24.140625" bestFit="1" customWidth="1" min="2" max="2"/>
    <col width="58.42578125" customWidth="1" min="3" max="3"/>
    <col width="13.140625" bestFit="1" customWidth="1" min="4" max="4"/>
    <col width="26.28515625" customWidth="1" style="9" min="5" max="5"/>
    <col width="13.5703125" customWidth="1" min="6" max="6"/>
    <col width="23.140625" customWidth="1" min="7" max="7"/>
    <col width="19.85546875" bestFit="1" customWidth="1" min="8" max="8"/>
    <col width="11.285156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inlineStr"/>
      <c r="D2" s="8" t="n"/>
    </row>
    <row r="3">
      <c r="A3" s="5" t="n"/>
      <c r="B3" s="6" t="inlineStr">
        <is>
          <t>Description:</t>
        </is>
      </c>
      <c r="C3" s="7" t="inlineStr"/>
      <c r="D3" s="8" t="n"/>
    </row>
    <row r="4">
      <c r="A4" s="10" t="n"/>
      <c r="B4" s="6" t="inlineStr">
        <is>
          <t>BOM P/N:</t>
        </is>
      </c>
      <c r="C4" s="7" t="inlineStr"/>
      <c r="D4" s="8" t="n"/>
    </row>
    <row r="5">
      <c r="A5" s="10" t="n"/>
      <c r="B5" s="6" t="inlineStr">
        <is>
          <t>Date of last Revision:</t>
        </is>
      </c>
      <c r="C5" s="11" t="inlineStr">
        <is>
          <t>2026-02-25</t>
        </is>
      </c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21-10120-0475</t>
        </is>
      </c>
      <c r="C17" s="20" t="inlineStr">
        <is>
          <t>CAP 0603 4.7uF 10V +10%/-10% Ceramic Chip</t>
        </is>
      </c>
      <c r="D17" t="inlineStr">
        <is>
          <t>2</t>
        </is>
      </c>
      <c r="E17" s="20" t="inlineStr"/>
      <c r="F17" s="20" t="inlineStr">
        <is>
          <t>SMT</t>
        </is>
      </c>
      <c r="G17" t="inlineStr">
        <is>
          <t>Cal-Chip</t>
        </is>
      </c>
      <c r="H17" t="inlineStr">
        <is>
          <t>cl10a225kq8nnnc</t>
        </is>
      </c>
      <c r="I17" t="n">
        <v>0</v>
      </c>
      <c r="J17" t="n">
        <v>0</v>
      </c>
    </row>
    <row r="18">
      <c r="A18" t="n">
        <v>2</v>
      </c>
      <c r="B18" s="20" t="inlineStr">
        <is>
          <t>21-10121-0476</t>
        </is>
      </c>
      <c r="C18" s="20" t="inlineStr">
        <is>
          <t>CAP CER 47UF 6.3V X5R 20% 0805</t>
        </is>
      </c>
      <c r="D18" t="inlineStr">
        <is>
          <t>2</t>
        </is>
      </c>
      <c r="E18" s="20" t="inlineStr"/>
      <c r="F18" s="20" t="inlineStr">
        <is>
          <t>SMT</t>
        </is>
      </c>
      <c r="G18" t="inlineStr">
        <is>
          <t>Cal-Chip</t>
        </is>
      </c>
      <c r="H18" t="inlineStr">
        <is>
          <t>cl21a476mqynnne</t>
        </is>
      </c>
      <c r="I18" t="n">
        <v>0</v>
      </c>
      <c r="J18" t="n">
        <v>0</v>
      </c>
    </row>
    <row r="19">
      <c r="A19" t="n">
        <v>3</v>
      </c>
      <c r="B19" s="20" t="n"/>
      <c r="C19" s="20" t="n"/>
      <c r="E19" s="20" t="n"/>
      <c r="F19" s="20" t="n"/>
    </row>
    <row r="20">
      <c r="A20" t="n">
        <v>4</v>
      </c>
      <c r="B20" s="20" t="n"/>
      <c r="C20" s="20" t="n"/>
      <c r="E20" s="20" t="n"/>
      <c r="F20" s="20" t="n"/>
    </row>
    <row r="21">
      <c r="A21" t="n">
        <v>5</v>
      </c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21-10072-0106</t>
        </is>
      </c>
      <c r="C25" s="20" t="inlineStr">
        <is>
          <t>CAP 10uF 10V  10% 0805 X5R</t>
        </is>
      </c>
      <c r="D25" t="inlineStr">
        <is>
          <t>3</t>
        </is>
      </c>
      <c r="E25" s="20" t="inlineStr"/>
      <c r="F25" s="20" t="inlineStr">
        <is>
          <t>TH</t>
        </is>
      </c>
      <c r="G25" t="inlineStr">
        <is>
          <t>Meritek</t>
        </is>
      </c>
      <c r="H25" t="inlineStr">
        <is>
          <t>cc0805zky5v6bb106</t>
        </is>
      </c>
      <c r="I25" t="n">
        <v>0</v>
      </c>
      <c r="J25" t="n">
        <v>0</v>
      </c>
    </row>
    <row r="26">
      <c r="B26" s="20" t="n"/>
      <c r="C26" s="20" t="n"/>
      <c r="E26" s="20" t="n"/>
      <c r="F26" s="20" t="n"/>
      <c r="J26">
        <f>_8620071X1_TH[[#This Row],[Price]]*_8620071X1_TH[[#This Row],[QTY.]]</f>
        <v/>
      </c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1</v>
      </c>
      <c r="B30" s="20" t="inlineStr">
        <is>
          <t>XXXXXXXXXXXXXXXXX</t>
        </is>
      </c>
      <c r="C30" s="20" t="inlineStr">
        <is>
          <t>xxxxxxxxxxxxxxxxxxxxxxxx</t>
        </is>
      </c>
      <c r="D30" t="n">
        <v>27</v>
      </c>
      <c r="E30" s="20" t="n"/>
      <c r="F30" s="24" t="inlineStr">
        <is>
          <t>assembly</t>
        </is>
      </c>
      <c r="G30" t="inlineStr">
        <is>
          <t>XXXXXXXXXXXX</t>
        </is>
      </c>
      <c r="H30" t="inlineStr">
        <is>
          <t>XXXXXXXXXXXXXXX</t>
        </is>
      </c>
      <c r="I30" s="19" t="n"/>
      <c r="J30" s="19">
        <f>_8620071X1_AUX[[#This Row],[Price]]*_8620071X1_AUX[[#This Row],[QTY.]]</f>
        <v/>
      </c>
    </row>
    <row r="31">
      <c r="A31" s="21" t="n">
        <v>2</v>
      </c>
      <c r="B31" s="21" t="inlineStr">
        <is>
          <t>XXXXXXXXXXXXXXXXX</t>
        </is>
      </c>
      <c r="C31" s="21" t="inlineStr">
        <is>
          <t>xxxxxxxxxxxxxxxxxxxxxxxx</t>
        </is>
      </c>
      <c r="D31" s="22" t="n"/>
      <c r="E31" s="23" t="n"/>
      <c r="F31" s="20" t="inlineStr">
        <is>
          <t>mech</t>
        </is>
      </c>
      <c r="G31" s="19" t="n"/>
      <c r="H31" s="19" t="n"/>
      <c r="I31" s="19" t="n"/>
      <c r="J31" s="19">
        <f>_8620071X1_AUX[[#This Row],[Price]]*_8620071X1_AUX[[#This Row],[QTY.]]</f>
        <v/>
      </c>
    </row>
    <row r="32">
      <c r="A32" s="21" t="n">
        <v>3</v>
      </c>
      <c r="B32" s="21" t="inlineStr">
        <is>
          <t>xxxxxxxxxxxxxxxxxxxx</t>
        </is>
      </c>
      <c r="C32" s="21" t="inlineStr">
        <is>
          <t>xxxxxxxxxxxxxxxxxxxxxxxxxxxxxxxx</t>
        </is>
      </c>
      <c r="D32" s="22" t="n"/>
      <c r="E32" s="23" t="n"/>
      <c r="F32" s="20" t="inlineStr">
        <is>
          <t>production</t>
        </is>
      </c>
      <c r="G32" s="19" t="n"/>
      <c r="H32" s="19" t="n"/>
      <c r="I32" s="19" t="n"/>
      <c r="J32" s="19">
        <f>_8620071X1_AUX[[#This Row],[Price]]*_8620071X1_AUX[[#This Row],[QTY.]]</f>
        <v/>
      </c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>
        <f>_8620071X1_AUX[[#This Row],[Price]]*_8620071X1_AUX[[#This Row],[QTY.]]</f>
        <v/>
      </c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2026-02-25T17:56:23Z</dcterms:modified>
  <cp:lastModifiedBy>Eric Ortiz</cp:lastModifiedBy>
</cp:coreProperties>
</file>